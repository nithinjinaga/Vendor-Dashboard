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dminpel-my.sharepoint.com/personal/subhasish_p_premierenergies_com/Documents/Subhasish Pattanaik Data/Customer Data/Dashboard Data/"/>
    </mc:Choice>
  </mc:AlternateContent>
  <xr:revisionPtr revIDLastSave="465" documentId="11_F25DC773A252ABDACC1048BF699B712C5ADE58F0" xr6:coauthVersionLast="47" xr6:coauthVersionMax="47" xr10:uidLastSave="{B00FC7E9-9AD1-4538-B416-F43B1CB75F61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2" l="1"/>
  <c r="N16" i="2"/>
  <c r="I16" i="2"/>
  <c r="U6" i="2"/>
  <c r="T6" i="2"/>
  <c r="I6" i="2"/>
  <c r="O17" i="2" l="1"/>
  <c r="N17" i="2"/>
  <c r="I17" i="2"/>
  <c r="H17" i="2"/>
  <c r="U18" i="2"/>
  <c r="T18" i="2"/>
  <c r="V18" i="2" s="1"/>
  <c r="O18" i="2"/>
  <c r="N18" i="2"/>
  <c r="P18" i="2" s="1"/>
  <c r="I18" i="2"/>
  <c r="H18" i="2"/>
  <c r="J18" i="2" s="1"/>
  <c r="U16" i="2"/>
  <c r="T16" i="2"/>
  <c r="P16" i="2"/>
  <c r="J16" i="2"/>
  <c r="S11" i="2"/>
  <c r="N11" i="2"/>
  <c r="P11" i="2" s="1"/>
  <c r="O11" i="2"/>
  <c r="N12" i="2"/>
  <c r="O12" i="2"/>
  <c r="P12" i="2"/>
  <c r="N13" i="2"/>
  <c r="O13" i="2"/>
  <c r="N10" i="2"/>
  <c r="O10" i="2"/>
  <c r="P10" i="2" s="1"/>
  <c r="J13" i="2"/>
  <c r="J10" i="2"/>
  <c r="J11" i="2"/>
  <c r="J12" i="2"/>
  <c r="R11" i="2"/>
  <c r="Q11" i="2"/>
  <c r="Y7" i="2"/>
  <c r="Y6" i="2"/>
  <c r="N8" i="2"/>
  <c r="H8" i="2"/>
  <c r="V6" i="2"/>
  <c r="S5" i="2"/>
  <c r="S6" i="2"/>
  <c r="S7" i="2"/>
  <c r="S9" i="2"/>
  <c r="S10" i="2"/>
  <c r="S12" i="2"/>
  <c r="S13" i="2"/>
  <c r="Q5" i="2"/>
  <c r="Q6" i="2"/>
  <c r="Q7" i="2"/>
  <c r="Q9" i="2"/>
  <c r="Q10" i="2"/>
  <c r="Q12" i="2"/>
  <c r="Q13" i="2"/>
  <c r="R5" i="2"/>
  <c r="R6" i="2"/>
  <c r="R7" i="2"/>
  <c r="R9" i="2"/>
  <c r="R10" i="2"/>
  <c r="R12" i="2"/>
  <c r="R13" i="2"/>
  <c r="H6" i="2"/>
  <c r="N6" i="2" s="1"/>
  <c r="S4" i="2"/>
  <c r="Q4" i="2"/>
  <c r="R4" i="2"/>
  <c r="T9" i="2"/>
  <c r="V9" i="2" s="1"/>
  <c r="T7" i="2"/>
  <c r="V7" i="2" s="1"/>
  <c r="T5" i="2"/>
  <c r="U5" i="2"/>
  <c r="Y4" i="2"/>
  <c r="O7" i="2"/>
  <c r="N7" i="2"/>
  <c r="I7" i="2"/>
  <c r="H7" i="2"/>
  <c r="O9" i="2"/>
  <c r="N9" i="2"/>
  <c r="I9" i="2"/>
  <c r="H9" i="2"/>
  <c r="J9" i="2" s="1"/>
  <c r="P7" i="2"/>
  <c r="O6" i="2"/>
  <c r="I5" i="2"/>
  <c r="O5" i="2" s="1"/>
  <c r="H5" i="2"/>
  <c r="N5" i="2" s="1"/>
  <c r="H4" i="2"/>
  <c r="N4" i="2" s="1"/>
  <c r="I4" i="2"/>
  <c r="O4" i="2" s="1"/>
  <c r="U4" i="2"/>
  <c r="T4" i="2"/>
  <c r="U8" i="2"/>
  <c r="I8" i="2"/>
  <c r="J8" i="2" s="1"/>
  <c r="O8" i="2"/>
  <c r="P8" i="2" s="1"/>
  <c r="T8" i="2"/>
  <c r="V16" i="2" l="1"/>
  <c r="P6" i="2"/>
  <c r="V5" i="2"/>
  <c r="P13" i="2"/>
  <c r="V4" i="2"/>
  <c r="P5" i="2"/>
  <c r="J5" i="2"/>
  <c r="J7" i="2"/>
  <c r="P17" i="2"/>
  <c r="J17" i="2"/>
  <c r="P9" i="2"/>
  <c r="V8" i="2"/>
  <c r="J4" i="2"/>
  <c r="P4" i="2"/>
  <c r="J6" i="2"/>
</calcChain>
</file>

<file path=xl/sharedStrings.xml><?xml version="1.0" encoding="utf-8"?>
<sst xmlns="http://schemas.openxmlformats.org/spreadsheetml/2006/main" count="82" uniqueCount="45">
  <si>
    <t>Customer Name</t>
  </si>
  <si>
    <t>PO Quantity (Nos)</t>
  </si>
  <si>
    <t>Dispatch quantity (Nos)</t>
  </si>
  <si>
    <t>Pending Quantoty (Nos)</t>
  </si>
  <si>
    <t>PO Quantity (MW)</t>
  </si>
  <si>
    <t>Dispatch quantity (MW)</t>
  </si>
  <si>
    <t>Pending Quantoty (MW)</t>
  </si>
  <si>
    <t>WP</t>
  </si>
  <si>
    <t>DCR/NDCR</t>
  </si>
  <si>
    <t>Amara Raja</t>
  </si>
  <si>
    <t>N DCR</t>
  </si>
  <si>
    <t>Amigo Green</t>
  </si>
  <si>
    <t>DCR</t>
  </si>
  <si>
    <t>Crompton (AP)</t>
  </si>
  <si>
    <t>Crompton (GJ)</t>
  </si>
  <si>
    <t>Ecozen</t>
  </si>
  <si>
    <t>500-540</t>
  </si>
  <si>
    <t>GK (June revised PO)</t>
  </si>
  <si>
    <t>Amount Received</t>
  </si>
  <si>
    <t xml:space="preserve">Amount Due </t>
  </si>
  <si>
    <t>BOE Filed Against LC</t>
  </si>
  <si>
    <t>BOE Acceptance Recevied</t>
  </si>
  <si>
    <t xml:space="preserve">BOE Acceptance Pending </t>
  </si>
  <si>
    <t>Amount Pending</t>
  </si>
  <si>
    <t>MDCC Received(Nos)</t>
  </si>
  <si>
    <t>MDCC Received(MW)</t>
  </si>
  <si>
    <t>Stock(Nos)</t>
  </si>
  <si>
    <t>Stock(MW)</t>
  </si>
  <si>
    <t>Lead</t>
  </si>
  <si>
    <t>Sublead</t>
  </si>
  <si>
    <t>Subhasish</t>
  </si>
  <si>
    <t>Hemanth</t>
  </si>
  <si>
    <t>Sawan</t>
  </si>
  <si>
    <t>Solar Square Mono</t>
  </si>
  <si>
    <t>Solar Square Topcon</t>
  </si>
  <si>
    <t>Clearance Given To Syore(Nos)</t>
  </si>
  <si>
    <t>Clearance Given To Syore(MW)</t>
  </si>
  <si>
    <t>Shakti MH</t>
  </si>
  <si>
    <t>Shakti MP</t>
  </si>
  <si>
    <t>Freyr Mono</t>
  </si>
  <si>
    <t>Freyr Topcon</t>
  </si>
  <si>
    <t>Rotomag AP</t>
  </si>
  <si>
    <t>Rotomag MH</t>
  </si>
  <si>
    <t>Rotomag Zidan</t>
  </si>
  <si>
    <t>500,520 &amp; 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</si>
</sst>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43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Sheet2!$C$4:$G$4</c:f>
              <c:strCache>
                <c:ptCount val="5"/>
                <c:pt idx="0">
                  <c:v>Subhasish</c:v>
                </c:pt>
                <c:pt idx="1">
                  <c:v>Hemanth</c:v>
                </c:pt>
                <c:pt idx="2">
                  <c:v>Amara Raja</c:v>
                </c:pt>
                <c:pt idx="3">
                  <c:v>615</c:v>
                </c:pt>
                <c:pt idx="4">
                  <c:v>N DCR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Sheet2!$H$3:$Y$3</c15:sqref>
                  </c15:fullRef>
                </c:ext>
              </c:extLst>
              <c:f>Sheet2!$H$3:$S$3</c:f>
              <c:strCache>
                <c:ptCount val="12"/>
                <c:pt idx="0">
                  <c:v>PO Quantity (Nos)</c:v>
                </c:pt>
                <c:pt idx="1">
                  <c:v>Dispatch quantity (Nos)</c:v>
                </c:pt>
                <c:pt idx="2">
                  <c:v>Pending Quantoty (Nos)</c:v>
                </c:pt>
                <c:pt idx="3">
                  <c:v>Stock(Nos)</c:v>
                </c:pt>
                <c:pt idx="4">
                  <c:v>MDCC Received(Nos)</c:v>
                </c:pt>
                <c:pt idx="5">
                  <c:v>Clearance Given To Syore(Nos)</c:v>
                </c:pt>
                <c:pt idx="6">
                  <c:v>PO Quantity (MW)</c:v>
                </c:pt>
                <c:pt idx="7">
                  <c:v>Dispatch quantity (MW)</c:v>
                </c:pt>
                <c:pt idx="8">
                  <c:v>Pending Quantoty (MW)</c:v>
                </c:pt>
                <c:pt idx="9">
                  <c:v>Stock(MW)</c:v>
                </c:pt>
                <c:pt idx="10">
                  <c:v>MDCC Received(MW)</c:v>
                </c:pt>
                <c:pt idx="11">
                  <c:v>Clearance Given To Syore(MW)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Sheet2!$H$4:$Y$4</c15:sqref>
                  </c15:fullRef>
                </c:ext>
              </c:extLst>
              <c:f>Sheet2!$H$4:$S$4</c:f>
              <c:numCache>
                <c:formatCode>0</c:formatCode>
                <c:ptCount val="12"/>
                <c:pt idx="0" formatCode="General">
                  <c:v>406505</c:v>
                </c:pt>
                <c:pt idx="1">
                  <c:v>244869</c:v>
                </c:pt>
                <c:pt idx="2">
                  <c:v>161636</c:v>
                </c:pt>
                <c:pt idx="3" formatCode="0.00">
                  <c:v>165890</c:v>
                </c:pt>
                <c:pt idx="4" formatCode="0.00">
                  <c:v>31</c:v>
                </c:pt>
                <c:pt idx="5" formatCode="0.00">
                  <c:v>31</c:v>
                </c:pt>
                <c:pt idx="6" formatCode="0.00">
                  <c:v>250.000575</c:v>
                </c:pt>
                <c:pt idx="7" formatCode="0.00">
                  <c:v>150.594435</c:v>
                </c:pt>
                <c:pt idx="8" formatCode="0.00">
                  <c:v>99.406139999999994</c:v>
                </c:pt>
                <c:pt idx="9" formatCode="0.00">
                  <c:v>102.02235</c:v>
                </c:pt>
                <c:pt idx="10" formatCode="0.00">
                  <c:v>1.9064999999999999E-2</c:v>
                </c:pt>
                <c:pt idx="11" formatCode="0.00">
                  <c:v>1.9064999999999999E-2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2-4A03-AB3A-1A61A31A3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529648"/>
        <c:axId val="15945301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Sheet2!$C$5:$G$5</c15:sqref>
                        </c15:formulaRef>
                      </c:ext>
                    </c:extLst>
                    <c:strCache>
                      <c:ptCount val="5"/>
                      <c:pt idx="0">
                        <c:v>Subhasish</c:v>
                      </c:pt>
                      <c:pt idx="1">
                        <c:v>Hemanth</c:v>
                      </c:pt>
                      <c:pt idx="2">
                        <c:v>Amigo Green</c:v>
                      </c:pt>
                      <c:pt idx="3">
                        <c:v>550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Sheet2!$H$3:$Y$3</c15:sqref>
                        </c15:fullRef>
                        <c15:formulaRef>
                          <c15:sqref>Sheet2!$H$3:$S$3</c15:sqref>
                        </c15:formulaRef>
                      </c:ext>
                    </c:extLst>
                    <c:strCache>
                      <c:ptCount val="12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Quantoty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Syore(Nos)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Stock(MW)</c:v>
                      </c:pt>
                      <c:pt idx="10">
                        <c:v>MDCC Received(MW)</c:v>
                      </c:pt>
                      <c:pt idx="11">
                        <c:v>Clearance Given To Syore(MW)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Sheet2!$H$5:$Y$5</c15:sqref>
                        </c15:fullRef>
                        <c15:formulaRef>
                          <c15:sqref>Sheet2!$H$5:$S$5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1860</c:v>
                      </c:pt>
                      <c:pt idx="1">
                        <c:v>620</c:v>
                      </c:pt>
                      <c:pt idx="2" formatCode="0">
                        <c:v>1240</c:v>
                      </c:pt>
                      <c:pt idx="6" formatCode="0.00">
                        <c:v>1.0229999999999999</c:v>
                      </c:pt>
                      <c:pt idx="7" formatCode="0.00">
                        <c:v>0.34100000000000003</c:v>
                      </c:pt>
                      <c:pt idx="8" formatCode="0.00">
                        <c:v>0.68199999999999994</c:v>
                      </c:pt>
                      <c:pt idx="9" formatCode="0.00">
                        <c:v>0</c:v>
                      </c:pt>
                      <c:pt idx="10" formatCode="0.00">
                        <c:v>0</c:v>
                      </c:pt>
                      <c:pt idx="11" formatCode="0.0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482-4A03-AB3A-1A61A31A3BB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Sheet2!$C$6:$G$6</c15:sqref>
                        </c15:formulaRef>
                      </c:ext>
                    </c:extLst>
                    <c:strCache>
                      <c:ptCount val="5"/>
                      <c:pt idx="0">
                        <c:v>Subhasish</c:v>
                      </c:pt>
                      <c:pt idx="1">
                        <c:v>Hemanth</c:v>
                      </c:pt>
                      <c:pt idx="2">
                        <c:v>Crompton (AP)</c:v>
                      </c:pt>
                      <c:pt idx="3">
                        <c:v>525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Sheet2!$H$3:$Y$3</c15:sqref>
                        </c15:fullRef>
                        <c15:formulaRef>
                          <c15:sqref>Sheet2!$H$3:$S$3</c15:sqref>
                        </c15:formulaRef>
                      </c:ext>
                    </c:extLst>
                    <c:strCache>
                      <c:ptCount val="12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Quantoty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Syore(Nos)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Stock(MW)</c:v>
                      </c:pt>
                      <c:pt idx="10">
                        <c:v>MDCC Received(MW)</c:v>
                      </c:pt>
                      <c:pt idx="11">
                        <c:v>Clearance Given To Syore(MW)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Sheet2!$H$6:$Y$6</c15:sqref>
                        </c15:fullRef>
                        <c15:formulaRef>
                          <c15:sqref>Sheet2!$H$6:$S$6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 formatCode="General">
                        <c:v>100000</c:v>
                      </c:pt>
                      <c:pt idx="1">
                        <c:v>68076</c:v>
                      </c:pt>
                      <c:pt idx="2">
                        <c:v>31924</c:v>
                      </c:pt>
                      <c:pt idx="3" formatCode="0.00">
                        <c:v>22304</c:v>
                      </c:pt>
                      <c:pt idx="4" formatCode="0.00">
                        <c:v>22304</c:v>
                      </c:pt>
                      <c:pt idx="5" formatCode="0.00">
                        <c:v>22304</c:v>
                      </c:pt>
                      <c:pt idx="6" formatCode="0.00">
                        <c:v>52.5</c:v>
                      </c:pt>
                      <c:pt idx="7" formatCode="0.00">
                        <c:v>35.739899999999999</c:v>
                      </c:pt>
                      <c:pt idx="8" formatCode="0.00">
                        <c:v>16.760100000000001</c:v>
                      </c:pt>
                      <c:pt idx="9" formatCode="0.00">
                        <c:v>11.7096</c:v>
                      </c:pt>
                      <c:pt idx="10" formatCode="0.00">
                        <c:v>11.7096</c:v>
                      </c:pt>
                      <c:pt idx="11" formatCode="0.00">
                        <c:v>11.7096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82-4A03-AB3A-1A61A31A3BB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Sheet2!$C$7:$G$7</c15:sqref>
                        </c15:formulaRef>
                      </c:ext>
                    </c:extLst>
                    <c:strCache>
                      <c:ptCount val="5"/>
                      <c:pt idx="0">
                        <c:v>Subhasish</c:v>
                      </c:pt>
                      <c:pt idx="1">
                        <c:v>Hemanth</c:v>
                      </c:pt>
                      <c:pt idx="2">
                        <c:v>Crompton (GJ)</c:v>
                      </c:pt>
                      <c:pt idx="3">
                        <c:v>600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Sheet2!$H$3:$Y$3</c15:sqref>
                        </c15:fullRef>
                        <c15:formulaRef>
                          <c15:sqref>Sheet2!$H$3:$S$3</c15:sqref>
                        </c15:formulaRef>
                      </c:ext>
                    </c:extLst>
                    <c:strCache>
                      <c:ptCount val="12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Quantoty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Syore(Nos)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Stock(MW)</c:v>
                      </c:pt>
                      <c:pt idx="10">
                        <c:v>MDCC Received(MW)</c:v>
                      </c:pt>
                      <c:pt idx="11">
                        <c:v>Clearance Given To Syore(MW)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Sheet2!$H$7:$Y$7</c15:sqref>
                        </c15:fullRef>
                        <c15:formulaRef>
                          <c15:sqref>Sheet2!$H$7:$S$7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 formatCode="General">
                        <c:v>3720</c:v>
                      </c:pt>
                      <c:pt idx="1">
                        <c:v>3720</c:v>
                      </c:pt>
                      <c:pt idx="2">
                        <c:v>0</c:v>
                      </c:pt>
                      <c:pt idx="3" formatCode="0.00">
                        <c:v>0</c:v>
                      </c:pt>
                      <c:pt idx="4" formatCode="0.00">
                        <c:v>0</c:v>
                      </c:pt>
                      <c:pt idx="5" formatCode="0.00">
                        <c:v>0</c:v>
                      </c:pt>
                      <c:pt idx="6" formatCode="0.00">
                        <c:v>2.2320000000000002</c:v>
                      </c:pt>
                      <c:pt idx="7" formatCode="0.00">
                        <c:v>2.2319999999999998</c:v>
                      </c:pt>
                      <c:pt idx="8" formatCode="0.00">
                        <c:v>0</c:v>
                      </c:pt>
                      <c:pt idx="9" formatCode="0.00">
                        <c:v>0</c:v>
                      </c:pt>
                      <c:pt idx="10" formatCode="0.00">
                        <c:v>0</c:v>
                      </c:pt>
                      <c:pt idx="11" formatCode="0.0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482-4A03-AB3A-1A61A31A3BB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Sheet2!$C$8:$G$8</c15:sqref>
                        </c15:formulaRef>
                      </c:ext>
                    </c:extLst>
                    <c:strCache>
                      <c:ptCount val="5"/>
                      <c:pt idx="0">
                        <c:v>Subhasish</c:v>
                      </c:pt>
                      <c:pt idx="1">
                        <c:v>Hemanth</c:v>
                      </c:pt>
                      <c:pt idx="2">
                        <c:v>Ecozen</c:v>
                      </c:pt>
                      <c:pt idx="3">
                        <c:v>500-540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Sheet2!$H$3:$Y$3</c15:sqref>
                        </c15:fullRef>
                        <c15:formulaRef>
                          <c15:sqref>Sheet2!$H$3:$S$3</c15:sqref>
                        </c15:formulaRef>
                      </c:ext>
                    </c:extLst>
                    <c:strCache>
                      <c:ptCount val="12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Quantoty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Syore(Nos)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Stock(MW)</c:v>
                      </c:pt>
                      <c:pt idx="10">
                        <c:v>MDCC Received(MW)</c:v>
                      </c:pt>
                      <c:pt idx="11">
                        <c:v>Clearance Given To Syore(MW)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Sheet2!$H$8:$Y$8</c15:sqref>
                        </c15:fullRef>
                        <c15:formulaRef>
                          <c15:sqref>Sheet2!$H$8:$S$8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164060</c:v>
                      </c:pt>
                      <c:pt idx="1">
                        <c:v>115646</c:v>
                      </c:pt>
                      <c:pt idx="2" formatCode="0">
                        <c:v>48414</c:v>
                      </c:pt>
                      <c:pt idx="3" formatCode="0.00">
                        <c:v>6083</c:v>
                      </c:pt>
                      <c:pt idx="4" formatCode="0.00">
                        <c:v>6083</c:v>
                      </c:pt>
                      <c:pt idx="5" formatCode="0.00">
                        <c:v>6083</c:v>
                      </c:pt>
                      <c:pt idx="6" formatCode="0.00">
                        <c:v>86.802200000000013</c:v>
                      </c:pt>
                      <c:pt idx="7" formatCode="0.00">
                        <c:v>61.126380000000125</c:v>
                      </c:pt>
                      <c:pt idx="8" formatCode="0.00">
                        <c:v>25.675819999999888</c:v>
                      </c:pt>
                      <c:pt idx="9" formatCode="0.00">
                        <c:v>3.14</c:v>
                      </c:pt>
                      <c:pt idx="10" formatCode="0.00">
                        <c:v>3.14</c:v>
                      </c:pt>
                      <c:pt idx="11" formatCode="0.00">
                        <c:v>3.14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82-4A03-AB3A-1A61A31A3BB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Sheet2!$C$9:$G$9</c15:sqref>
                        </c15:formulaRef>
                      </c:ext>
                    </c:extLst>
                    <c:strCache>
                      <c:ptCount val="5"/>
                      <c:pt idx="0">
                        <c:v>Subhasish</c:v>
                      </c:pt>
                      <c:pt idx="1">
                        <c:v>Hemanth</c:v>
                      </c:pt>
                      <c:pt idx="2">
                        <c:v>GK (June revised PO)</c:v>
                      </c:pt>
                      <c:pt idx="3">
                        <c:v>535</c:v>
                      </c:pt>
                      <c:pt idx="4">
                        <c:v>DCR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Sheet2!$H$3:$Y$3</c15:sqref>
                        </c15:fullRef>
                        <c15:formulaRef>
                          <c15:sqref>Sheet2!$H$3:$S$3</c15:sqref>
                        </c15:formulaRef>
                      </c:ext>
                    </c:extLst>
                    <c:strCache>
                      <c:ptCount val="12"/>
                      <c:pt idx="0">
                        <c:v>PO Quantity (Nos)</c:v>
                      </c:pt>
                      <c:pt idx="1">
                        <c:v>Dispatch quantity (Nos)</c:v>
                      </c:pt>
                      <c:pt idx="2">
                        <c:v>Pending Quantoty (Nos)</c:v>
                      </c:pt>
                      <c:pt idx="3">
                        <c:v>Stock(Nos)</c:v>
                      </c:pt>
                      <c:pt idx="4">
                        <c:v>MDCC Received(Nos)</c:v>
                      </c:pt>
                      <c:pt idx="5">
                        <c:v>Clearance Given To Syore(Nos)</c:v>
                      </c:pt>
                      <c:pt idx="6">
                        <c:v>PO Quantity (MW)</c:v>
                      </c:pt>
                      <c:pt idx="7">
                        <c:v>Dispatch quantity (MW)</c:v>
                      </c:pt>
                      <c:pt idx="8">
                        <c:v>Pending Quantoty (MW)</c:v>
                      </c:pt>
                      <c:pt idx="9">
                        <c:v>Stock(MW)</c:v>
                      </c:pt>
                      <c:pt idx="10">
                        <c:v>MDCC Received(MW)</c:v>
                      </c:pt>
                      <c:pt idx="11">
                        <c:v>Clearance Given To Syore(MW)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Sheet2!$H$9:$Y$9</c15:sqref>
                        </c15:fullRef>
                        <c15:formulaRef>
                          <c15:sqref>Sheet2!$H$9:$S$9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 formatCode="General">
                        <c:v>20088</c:v>
                      </c:pt>
                      <c:pt idx="1">
                        <c:v>15167</c:v>
                      </c:pt>
                      <c:pt idx="2">
                        <c:v>4921</c:v>
                      </c:pt>
                      <c:pt idx="6" formatCode="0.00">
                        <c:v>10.74708</c:v>
                      </c:pt>
                      <c:pt idx="7" formatCode="0.00">
                        <c:v>8.1143449999999984</c:v>
                      </c:pt>
                      <c:pt idx="8" formatCode="0.00">
                        <c:v>2.632735000000002</c:v>
                      </c:pt>
                      <c:pt idx="9" formatCode="0.00">
                        <c:v>0</c:v>
                      </c:pt>
                      <c:pt idx="10" formatCode="0.00">
                        <c:v>0</c:v>
                      </c:pt>
                      <c:pt idx="11" formatCode="0.0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482-4A03-AB3A-1A61A31A3BB9}"/>
                  </c:ext>
                </c:extLst>
              </c15:ser>
            </c15:filteredBarSeries>
          </c:ext>
        </c:extLst>
      </c:barChart>
      <c:catAx>
        <c:axId val="15945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30128"/>
        <c:crosses val="autoZero"/>
        <c:auto val="1"/>
        <c:lblAlgn val="ctr"/>
        <c:lblOffset val="100"/>
        <c:noMultiLvlLbl val="0"/>
      </c:catAx>
      <c:valAx>
        <c:axId val="15945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121920</xdr:rowOff>
    </xdr:from>
    <xdr:to>
      <xdr:col>12</xdr:col>
      <xdr:colOff>342900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A1C59-1AB1-4E4F-B10C-242D91F1D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Amara%20Raja%20Topcon%20April%202026/Amara%20Raja%20Tracker%20Topcon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Amara%20Raja%20Topcon%20April%202026/Amara%20Raja%20Tracker%20Topcon.xlsx" TargetMode="External"/><Relationship Id="rId1" Type="http://schemas.openxmlformats.org/officeDocument/2006/relationships/externalLinkPath" Target="/personal/subhasish_p_premierenergies_com/Documents/Subhasish%20Pattanaik%20Data/Customer%20Data/Module/Amara%20Raja%20Topcon%20April%202026/Amara%20Raja%20Tracker%20Topc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Amigo%20Green/Amigo%20Green%20Tracker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Amigo%20Green/Amigo%20Green%20Tracker.xlsx" TargetMode="External"/><Relationship Id="rId1" Type="http://schemas.openxmlformats.org/officeDocument/2006/relationships/externalLinkPath" Target="/personal/subhasish_p_premierenergies_com/Documents/Subhasish%20Pattanaik%20Data/Customer%20Data/Module/Amigo%20Green/Amigo%20Green%20Track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Crompton/Crompton%20May%20order/Crompton%20Tracker%20May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Crompton/Crompton%20May%20order/Crompton%20Tracker%20May.xlsx" TargetMode="External"/><Relationship Id="rId1" Type="http://schemas.openxmlformats.org/officeDocument/2006/relationships/externalLinkPath" Target="/personal/subhasish_p_premierenergies_com/Documents/Subhasish%20Pattanaik%20Data/Customer%20Data/Module/Crompton/Crompton%20May%20order/Crompton%20Tracker%20May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Crompton/Crompton%20Topcon%20Order/Crompton%20Tracker%20Tocon%20June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Crompton/Crompton%20Topcon%20Order/Crompton%20Tracker%20Tocon%20June.xlsx" TargetMode="External"/><Relationship Id="rId1" Type="http://schemas.openxmlformats.org/officeDocument/2006/relationships/externalLinkPath" Target="/personal/subhasish_p_premierenergies_com/Documents/Subhasish%20Pattanaik%20Data/Customer%20Data/Module/Crompton/Crompton%20Topcon%20Order/Crompton%20Tracker%20Tocon%20Jun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Ecozen/Ecozen%20New%20Order%20April%2050%20MW/Ecozen%20Tracker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Ecozen/Ecozen%20New%20Order%20April%2050%20MW/Ecozen%20Tracker.xlsx" TargetMode="External"/><Relationship Id="rId1" Type="http://schemas.openxmlformats.org/officeDocument/2006/relationships/externalLinkPath" Target="/personal/subhasish_p_premierenergies_com/Documents/Subhasish%20Pattanaik%20Data/Customer%20Data/Module/Ecozen/Ecozen%20New%20Order%20April%2050%20MW/Ecozen%20Tracker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GK%20Energy/GK%20June%202026/GK%20Tracker%20PO%20051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GK%20Energy/GK%20June%202026/GK%20Tracker%20PO%20051.xlsx" TargetMode="External"/><Relationship Id="rId1" Type="http://schemas.openxmlformats.org/officeDocument/2006/relationships/externalLinkPath" Target="/personal/subhasish_p_premierenergies_com/Documents/Subhasish%20Pattanaik%20Data/Customer%20Data/Module/GK%20Energy/GK%20June%202026/GK%20Tracker%20PO%20051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Rotomag/PO102504%20may%202026/Rotomag%20Tracker%20May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Rotomag/PO102504%20may%202026/Rotomag%20Tracker%20May.xlsx" TargetMode="External"/><Relationship Id="rId1" Type="http://schemas.openxmlformats.org/officeDocument/2006/relationships/externalLinkPath" Target="/personal/subhasish_p_premierenergies_com/Documents/Subhasish%20Pattanaik%20Data/Customer%20Data/Module/Rotomag/PO102504%20may%202026/Rotomag%20Tracker%20May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Rotomag/Rotomag%20MH_Aug%202026/Rotomag%20Tracker%20Maharashtra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Rotomag/Rotomag%20MH_Aug%202026/Rotomag%20Tracker%20Maharashtra.xlsx" TargetMode="External"/><Relationship Id="rId1" Type="http://schemas.openxmlformats.org/officeDocument/2006/relationships/externalLinkPath" Target="/personal/subhasish_p_premierenergies_com/Documents/Subhasish%20Pattanaik%20Data/Customer%20Data/Module/Rotomag/Rotomag%20MH_Aug%202026/Rotomag%20Tracker%20Maharashtra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ule/Zidan%20(Rotomag)/Zidan%20Tracker.xlsx" TargetMode="External"/><Relationship Id="rId2" Type="http://schemas.openxmlformats.org/officeDocument/2006/relationships/externalLinkPath" Target="https://adminpel-my.sharepoint.com/personal/subhasish_p_premierenergies_com/Documents/Subhasish%20Pattanaik%20Data/Customer%20Data/Module/Zidan%20(Rotomag)/Zidan%20Tracker.xlsx" TargetMode="External"/><Relationship Id="rId1" Type="http://schemas.openxmlformats.org/officeDocument/2006/relationships/externalLinkPath" Target="/personal/subhasish_p_premierenergies_com/Documents/Subhasish%20Pattanaik%20Data/Customer%20Data/Module/Zidan%20(Rotomag)/Zidan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der Details"/>
      <sheetName val="Payment details"/>
      <sheetName val="BOE Details"/>
      <sheetName val="Dispatch details"/>
      <sheetName val="Sheet1"/>
      <sheetName val="Sheet2"/>
    </sheetNames>
    <sheetDataSet>
      <sheetData sheetId="0">
        <row r="8">
          <cell r="G8">
            <v>406505</v>
          </cell>
        </row>
      </sheetData>
      <sheetData sheetId="1"/>
      <sheetData sheetId="2"/>
      <sheetData sheetId="3">
        <row r="2">
          <cell r="G2">
            <v>244869</v>
          </cell>
          <cell r="L2">
            <v>2136257357.6925147</v>
          </cell>
          <cell r="M2">
            <v>2034530.8168499833</v>
          </cell>
          <cell r="N2">
            <v>203453081.68500105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der Details"/>
      <sheetName val="Payment details"/>
      <sheetName val="Dispatch Tracker"/>
    </sheetNames>
    <sheetDataSet>
      <sheetData sheetId="0">
        <row r="3">
          <cell r="E3">
            <v>1860</v>
          </cell>
        </row>
      </sheetData>
      <sheetData sheetId="1">
        <row r="3">
          <cell r="C3">
            <v>8000000</v>
          </cell>
        </row>
      </sheetData>
      <sheetData sheetId="2">
        <row r="2">
          <cell r="I2">
            <v>620</v>
          </cell>
          <cell r="O2">
            <v>7243607.25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 Details"/>
      <sheetName val="Dispatch plan"/>
      <sheetName val="Payment Details"/>
      <sheetName val="LC Details"/>
      <sheetName val="Dispatch Tracker"/>
    </sheetNames>
    <sheetDataSet>
      <sheetData sheetId="0">
        <row r="1">
          <cell r="E1">
            <v>100000</v>
          </cell>
        </row>
      </sheetData>
      <sheetData sheetId="1"/>
      <sheetData sheetId="2"/>
      <sheetData sheetId="3"/>
      <sheetData sheetId="4">
        <row r="2">
          <cell r="I2">
            <v>68076</v>
          </cell>
          <cell r="N2">
            <v>742516975.20000005</v>
          </cell>
          <cell r="O2">
            <v>707159.02400000033</v>
          </cell>
          <cell r="P2">
            <v>70645186.497600093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 Details"/>
      <sheetName val="Dispatch plan"/>
      <sheetName val="Payment Details"/>
      <sheetName val="LC Details"/>
      <sheetName val="Dispatch Tracker"/>
    </sheetNames>
    <sheetDataSet>
      <sheetData sheetId="0">
        <row r="2">
          <cell r="E2">
            <v>3720</v>
          </cell>
          <cell r="G2">
            <v>2.2320000000000002</v>
          </cell>
        </row>
      </sheetData>
      <sheetData sheetId="1"/>
      <sheetData sheetId="2"/>
      <sheetData sheetId="3"/>
      <sheetData sheetId="4">
        <row r="2">
          <cell r="H2">
            <v>3720</v>
          </cell>
          <cell r="I2">
            <v>2.2319999999999998</v>
          </cell>
          <cell r="M2">
            <v>40622400</v>
          </cell>
          <cell r="N2">
            <v>38688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der Details"/>
      <sheetName val="Credit Details"/>
      <sheetName val="Payment Details"/>
      <sheetName val="Dispatch summary"/>
      <sheetName val="Sheet4"/>
      <sheetName val="Location wise "/>
      <sheetName val="Dispatch tracker"/>
      <sheetName val="Sheet1"/>
      <sheetName val="Sheet2"/>
      <sheetName val="Sheet3"/>
    </sheetNames>
    <sheetDataSet>
      <sheetData sheetId="0">
        <row r="1">
          <cell r="G1">
            <v>164060</v>
          </cell>
          <cell r="H1">
            <v>86.802200000000013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K3">
            <v>115646</v>
          </cell>
          <cell r="L3">
            <v>61.126380000000125</v>
          </cell>
          <cell r="T3">
            <v>1273426319.6960022</v>
          </cell>
          <cell r="Y3">
            <v>1087682972</v>
          </cell>
        </row>
      </sheetData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der Details"/>
      <sheetName val="Summary"/>
      <sheetName val="Payment Details"/>
      <sheetName val="Dispatch Tracker"/>
      <sheetName val="Order Breakup"/>
      <sheetName val="CN Details"/>
    </sheetNames>
    <sheetDataSet>
      <sheetData sheetId="0">
        <row r="2">
          <cell r="E2">
            <v>20088</v>
          </cell>
          <cell r="G2">
            <v>10.74708</v>
          </cell>
        </row>
      </sheetData>
      <sheetData sheetId="1"/>
      <sheetData sheetId="2"/>
      <sheetData sheetId="3">
        <row r="2">
          <cell r="H2">
            <v>15167</v>
          </cell>
          <cell r="I2">
            <v>8.1143449999999984</v>
          </cell>
          <cell r="O2">
            <v>170238958.10000002</v>
          </cell>
        </row>
      </sheetData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 Details"/>
      <sheetName val="Payment Details"/>
      <sheetName val="Dispatch plan"/>
      <sheetName val="Dispatch Clearance"/>
      <sheetName val="Dispatch Tracker"/>
    </sheetNames>
    <sheetDataSet>
      <sheetData sheetId="0">
        <row r="2">
          <cell r="G2">
            <v>64.8</v>
          </cell>
        </row>
      </sheetData>
      <sheetData sheetId="1">
        <row r="1">
          <cell r="C1">
            <v>646988889</v>
          </cell>
        </row>
      </sheetData>
      <sheetData sheetId="2"/>
      <sheetData sheetId="3"/>
      <sheetData sheetId="4">
        <row r="2">
          <cell r="I2">
            <v>60140</v>
          </cell>
          <cell r="J2">
            <v>32.47560000000005</v>
          </cell>
          <cell r="Q2">
            <v>708.75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 Details"/>
      <sheetName val="Payment Details"/>
      <sheetName val="Dispatch plan"/>
      <sheetName val="Dispatch Clearance"/>
      <sheetName val="Dispatch Tracker"/>
    </sheetNames>
    <sheetDataSet>
      <sheetData sheetId="0">
        <row r="1">
          <cell r="E1">
            <v>8680</v>
          </cell>
          <cell r="G1">
            <v>4.4143999999999997</v>
          </cell>
        </row>
      </sheetData>
      <sheetData sheetId="1"/>
      <sheetData sheetId="2"/>
      <sheetData sheetId="3"/>
      <sheetData sheetId="4">
        <row r="2">
          <cell r="I2">
            <v>8060</v>
          </cell>
          <cell r="J2">
            <v>4.1044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 Details"/>
      <sheetName val="Payment Details"/>
      <sheetName val="Dispatch Tracker"/>
    </sheetNames>
    <sheetDataSet>
      <sheetData sheetId="0">
        <row r="1">
          <cell r="E1">
            <v>8060</v>
          </cell>
          <cell r="G1">
            <v>4.3523999999999994</v>
          </cell>
        </row>
      </sheetData>
      <sheetData sheetId="1">
        <row r="1">
          <cell r="C1">
            <v>135214010</v>
          </cell>
        </row>
      </sheetData>
      <sheetData sheetId="2">
        <row r="2">
          <cell r="H2">
            <v>10540</v>
          </cell>
          <cell r="I2">
            <v>5.6916000000000002</v>
          </cell>
          <cell r="Q2">
            <v>114924787.19999997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R15" sqref="R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20F1-4FAA-4DF4-B015-8406C76F51DD}">
  <dimension ref="C2:Y18"/>
  <sheetViews>
    <sheetView tabSelected="1" topLeftCell="Q1" workbookViewId="0">
      <selection activeCell="X24" sqref="X24"/>
    </sheetView>
  </sheetViews>
  <sheetFormatPr defaultRowHeight="14.4" x14ac:dyDescent="0.3"/>
  <cols>
    <col min="1" max="1" width="8.88671875" style="1"/>
    <col min="2" max="2" width="17.6640625" style="1" bestFit="1" customWidth="1"/>
    <col min="3" max="5" width="17.6640625" style="1" customWidth="1"/>
    <col min="6" max="6" width="14.33203125" style="1" customWidth="1"/>
    <col min="7" max="7" width="10.109375" style="1" bestFit="1" customWidth="1"/>
    <col min="8" max="8" width="16.33203125" style="1" bestFit="1" customWidth="1"/>
    <col min="9" max="9" width="21" style="1" bestFit="1" customWidth="1"/>
    <col min="10" max="10" width="21.6640625" style="1" bestFit="1" customWidth="1"/>
    <col min="11" max="11" width="16.6640625" style="1" customWidth="1"/>
    <col min="12" max="12" width="19" style="1" bestFit="1" customWidth="1"/>
    <col min="13" max="13" width="27.21875" style="1" bestFit="1" customWidth="1"/>
    <col min="14" max="14" width="16.6640625" style="1" bestFit="1" customWidth="1"/>
    <col min="15" max="15" width="21.44140625" style="1" bestFit="1" customWidth="1"/>
    <col min="16" max="16" width="22" style="1" bestFit="1" customWidth="1"/>
    <col min="17" max="17" width="16.6640625" style="1" customWidth="1"/>
    <col min="18" max="18" width="19" style="1" bestFit="1" customWidth="1"/>
    <col min="19" max="19" width="27.5546875" style="1" bestFit="1" customWidth="1"/>
    <col min="20" max="20" width="16.33203125" style="1" bestFit="1" customWidth="1"/>
    <col min="21" max="21" width="18.88671875" style="1" bestFit="1" customWidth="1"/>
    <col min="22" max="22" width="18.77734375" style="1" customWidth="1"/>
    <col min="23" max="23" width="21.109375" style="1" bestFit="1" customWidth="1"/>
    <col min="24" max="24" width="26" style="1" bestFit="1" customWidth="1"/>
    <col min="25" max="25" width="22.44140625" style="1" bestFit="1" customWidth="1"/>
    <col min="26" max="16384" width="8.88671875" style="1"/>
  </cols>
  <sheetData>
    <row r="2" spans="3:25" x14ac:dyDescent="0.3">
      <c r="X2" s="4"/>
    </row>
    <row r="3" spans="3:25" s="2" customFormat="1" x14ac:dyDescent="0.3">
      <c r="C3" s="5" t="s">
        <v>28</v>
      </c>
      <c r="D3" s="5" t="s">
        <v>29</v>
      </c>
      <c r="E3" s="5" t="s">
        <v>0</v>
      </c>
      <c r="F3" s="5" t="s">
        <v>7</v>
      </c>
      <c r="G3" s="5" t="s">
        <v>8</v>
      </c>
      <c r="H3" s="5" t="s">
        <v>1</v>
      </c>
      <c r="I3" s="5" t="s">
        <v>2</v>
      </c>
      <c r="J3" s="5" t="s">
        <v>3</v>
      </c>
      <c r="K3" s="5" t="s">
        <v>26</v>
      </c>
      <c r="L3" s="5" t="s">
        <v>24</v>
      </c>
      <c r="M3" s="5" t="s">
        <v>35</v>
      </c>
      <c r="N3" s="5" t="s">
        <v>4</v>
      </c>
      <c r="O3" s="5" t="s">
        <v>5</v>
      </c>
      <c r="P3" s="5" t="s">
        <v>6</v>
      </c>
      <c r="Q3" s="5" t="s">
        <v>27</v>
      </c>
      <c r="R3" s="5" t="s">
        <v>25</v>
      </c>
      <c r="S3" s="5" t="s">
        <v>36</v>
      </c>
      <c r="T3" s="5" t="s">
        <v>19</v>
      </c>
      <c r="U3" s="5" t="s">
        <v>18</v>
      </c>
      <c r="V3" s="5" t="s">
        <v>23</v>
      </c>
      <c r="W3" s="5" t="s">
        <v>20</v>
      </c>
      <c r="X3" s="5" t="s">
        <v>21</v>
      </c>
      <c r="Y3" s="5" t="s">
        <v>22</v>
      </c>
    </row>
    <row r="4" spans="3:25" x14ac:dyDescent="0.3">
      <c r="C4" s="6" t="s">
        <v>30</v>
      </c>
      <c r="D4" s="6" t="s">
        <v>31</v>
      </c>
      <c r="E4" s="6" t="s">
        <v>9</v>
      </c>
      <c r="F4" s="6">
        <v>615</v>
      </c>
      <c r="G4" s="6" t="s">
        <v>10</v>
      </c>
      <c r="H4" s="6">
        <f>'[1]Order Details'!$G$8</f>
        <v>406505</v>
      </c>
      <c r="I4" s="7">
        <f>'[1]Dispatch details'!$G$2</f>
        <v>244869</v>
      </c>
      <c r="J4" s="7">
        <f>H4-I4</f>
        <v>161636</v>
      </c>
      <c r="K4" s="8">
        <v>165890</v>
      </c>
      <c r="L4" s="8">
        <v>31</v>
      </c>
      <c r="M4" s="8">
        <v>31</v>
      </c>
      <c r="N4" s="8">
        <f>H4*F4/10^6</f>
        <v>250.000575</v>
      </c>
      <c r="O4" s="8">
        <f>F4*I4/10^6</f>
        <v>150.594435</v>
      </c>
      <c r="P4" s="8">
        <f t="shared" ref="P4:P9" si="0">N4-O4</f>
        <v>99.406139999999994</v>
      </c>
      <c r="Q4" s="8">
        <f>K4*F4/10^6</f>
        <v>102.02235</v>
      </c>
      <c r="R4" s="8">
        <f>F4*L4/10^6</f>
        <v>1.9064999999999999E-2</v>
      </c>
      <c r="S4" s="8">
        <f>M4*F4/10^6</f>
        <v>1.9064999999999999E-2</v>
      </c>
      <c r="T4" s="9">
        <f>'[1]Dispatch details'!$L$2-'[1]Dispatch details'!$M$2</f>
        <v>2134222826.8756647</v>
      </c>
      <c r="U4" s="9">
        <f>'[1]Dispatch details'!$N$2</f>
        <v>203453081.68500105</v>
      </c>
      <c r="V4" s="9">
        <f t="shared" ref="V4:V9" si="1">T4-U4</f>
        <v>1930769745.1906636</v>
      </c>
      <c r="W4" s="9">
        <v>1923129166</v>
      </c>
      <c r="X4" s="9">
        <v>1134165210</v>
      </c>
      <c r="Y4" s="9">
        <f>W4-X4</f>
        <v>788963956</v>
      </c>
    </row>
    <row r="5" spans="3:25" x14ac:dyDescent="0.3">
      <c r="C5" s="6" t="s">
        <v>30</v>
      </c>
      <c r="D5" s="6" t="s">
        <v>31</v>
      </c>
      <c r="E5" s="6" t="s">
        <v>11</v>
      </c>
      <c r="F5" s="6">
        <v>550</v>
      </c>
      <c r="G5" s="6" t="s">
        <v>12</v>
      </c>
      <c r="H5" s="6">
        <f>'[2]Order Details'!$E$3</f>
        <v>1860</v>
      </c>
      <c r="I5" s="6">
        <f>'[2]Dispatch Tracker'!$I$2</f>
        <v>620</v>
      </c>
      <c r="J5" s="7">
        <f>H5-I5</f>
        <v>1240</v>
      </c>
      <c r="K5" s="8"/>
      <c r="L5" s="8"/>
      <c r="M5" s="8"/>
      <c r="N5" s="8">
        <f>H5*F5/10^6</f>
        <v>1.0229999999999999</v>
      </c>
      <c r="O5" s="8">
        <f>F5*I5/10^6</f>
        <v>0.34100000000000003</v>
      </c>
      <c r="P5" s="8">
        <f t="shared" si="0"/>
        <v>0.68199999999999994</v>
      </c>
      <c r="Q5" s="8">
        <f>K5*F5/10^6</f>
        <v>0</v>
      </c>
      <c r="R5" s="8">
        <f t="shared" ref="R5:R13" si="2">F5*L5/10^6</f>
        <v>0</v>
      </c>
      <c r="S5" s="8">
        <f>M5*F5/10^6</f>
        <v>0</v>
      </c>
      <c r="T5" s="9">
        <f>'[2]Dispatch Tracker'!$O$2</f>
        <v>7243607.25</v>
      </c>
      <c r="U5" s="9">
        <f>'[2]Payment details'!$C$3</f>
        <v>8000000</v>
      </c>
      <c r="V5" s="9">
        <f t="shared" si="1"/>
        <v>-756392.75</v>
      </c>
      <c r="W5" s="9"/>
      <c r="X5" s="9"/>
      <c r="Y5" s="9"/>
    </row>
    <row r="6" spans="3:25" x14ac:dyDescent="0.3">
      <c r="C6" s="6" t="s">
        <v>30</v>
      </c>
      <c r="D6" s="6" t="s">
        <v>31</v>
      </c>
      <c r="E6" s="6" t="s">
        <v>13</v>
      </c>
      <c r="F6" s="6">
        <v>525</v>
      </c>
      <c r="G6" s="6" t="s">
        <v>12</v>
      </c>
      <c r="H6" s="6">
        <f>'[3]PO Details'!$E$1</f>
        <v>100000</v>
      </c>
      <c r="I6" s="7">
        <f>'[3]Dispatch Tracker'!$I$2</f>
        <v>68076</v>
      </c>
      <c r="J6" s="7">
        <f>H6-I6</f>
        <v>31924</v>
      </c>
      <c r="K6" s="8">
        <v>22304</v>
      </c>
      <c r="L6" s="8">
        <v>22304</v>
      </c>
      <c r="M6" s="8">
        <v>22304</v>
      </c>
      <c r="N6" s="8">
        <f>H6*F6/10^6</f>
        <v>52.5</v>
      </c>
      <c r="O6" s="8">
        <f>F6*I6/10^6</f>
        <v>35.739899999999999</v>
      </c>
      <c r="P6" s="8">
        <f t="shared" si="0"/>
        <v>16.760100000000001</v>
      </c>
      <c r="Q6" s="8">
        <f>K6*F6/10^6</f>
        <v>11.7096</v>
      </c>
      <c r="R6" s="8">
        <f t="shared" si="2"/>
        <v>11.7096</v>
      </c>
      <c r="S6" s="8">
        <f>M6*F6/10^6</f>
        <v>11.7096</v>
      </c>
      <c r="T6" s="9">
        <f>'[3]Dispatch Tracker'!$N$2-'[3]Dispatch Tracker'!$O$2</f>
        <v>741809816.176</v>
      </c>
      <c r="U6" s="9">
        <f>'[3]Dispatch Tracker'!$P$2</f>
        <v>70645186.497600093</v>
      </c>
      <c r="V6" s="9">
        <f t="shared" si="1"/>
        <v>671164629.67839992</v>
      </c>
      <c r="W6" s="10">
        <v>369477796.48000002</v>
      </c>
      <c r="X6" s="9">
        <v>365963848.48000002</v>
      </c>
      <c r="Y6" s="9">
        <f>W6-X6</f>
        <v>3513948</v>
      </c>
    </row>
    <row r="7" spans="3:25" x14ac:dyDescent="0.3">
      <c r="C7" s="6" t="s">
        <v>30</v>
      </c>
      <c r="D7" s="6" t="s">
        <v>31</v>
      </c>
      <c r="E7" s="6" t="s">
        <v>14</v>
      </c>
      <c r="F7" s="6">
        <v>600</v>
      </c>
      <c r="G7" s="6" t="s">
        <v>12</v>
      </c>
      <c r="H7" s="6">
        <f>'[4]PO Details'!$E$2</f>
        <v>3720</v>
      </c>
      <c r="I7" s="7">
        <f>'[4]Dispatch Tracker'!$H$2</f>
        <v>3720</v>
      </c>
      <c r="J7" s="7">
        <f t="shared" ref="J7:J13" si="3">H7-I7</f>
        <v>0</v>
      </c>
      <c r="K7" s="8">
        <v>0</v>
      </c>
      <c r="L7" s="8">
        <v>0</v>
      </c>
      <c r="M7" s="8">
        <v>0</v>
      </c>
      <c r="N7" s="8">
        <f>'[4]PO Details'!$G$2</f>
        <v>2.2320000000000002</v>
      </c>
      <c r="O7" s="8">
        <f>'[4]Dispatch Tracker'!$I$2</f>
        <v>2.2319999999999998</v>
      </c>
      <c r="P7" s="8">
        <f t="shared" si="0"/>
        <v>0</v>
      </c>
      <c r="Q7" s="8">
        <f>K7*F7/10^6</f>
        <v>0</v>
      </c>
      <c r="R7" s="8">
        <f t="shared" si="2"/>
        <v>0</v>
      </c>
      <c r="S7" s="8">
        <f>M7*F7/10^6</f>
        <v>0</v>
      </c>
      <c r="T7" s="9">
        <f>'[4]Dispatch Tracker'!$M$2-'[4]Dispatch Tracker'!$N$2</f>
        <v>40583712</v>
      </c>
      <c r="U7" s="9"/>
      <c r="V7" s="9">
        <f t="shared" si="1"/>
        <v>40583712</v>
      </c>
      <c r="W7" s="9">
        <v>20849558.5</v>
      </c>
      <c r="X7" s="10">
        <v>20849558.5</v>
      </c>
      <c r="Y7" s="9">
        <f>W7-X7</f>
        <v>0</v>
      </c>
    </row>
    <row r="8" spans="3:25" x14ac:dyDescent="0.3">
      <c r="C8" s="6" t="s">
        <v>30</v>
      </c>
      <c r="D8" s="6" t="s">
        <v>31</v>
      </c>
      <c r="E8" s="6" t="s">
        <v>15</v>
      </c>
      <c r="F8" s="6" t="s">
        <v>16</v>
      </c>
      <c r="G8" s="6" t="s">
        <v>12</v>
      </c>
      <c r="H8" s="6">
        <f>'[5]Order Details'!$G$1</f>
        <v>164060</v>
      </c>
      <c r="I8" s="6">
        <f>'[5]Dispatch tracker'!$K$3</f>
        <v>115646</v>
      </c>
      <c r="J8" s="7">
        <f t="shared" si="3"/>
        <v>48414</v>
      </c>
      <c r="K8" s="8">
        <v>6083</v>
      </c>
      <c r="L8" s="8">
        <v>6083</v>
      </c>
      <c r="M8" s="8">
        <v>6083</v>
      </c>
      <c r="N8" s="8">
        <f>'[5]Order Details'!$H$1</f>
        <v>86.802200000000013</v>
      </c>
      <c r="O8" s="8">
        <f>'[5]Dispatch tracker'!$L$3</f>
        <v>61.126380000000125</v>
      </c>
      <c r="P8" s="8">
        <f t="shared" si="0"/>
        <v>25.675819999999888</v>
      </c>
      <c r="Q8" s="8">
        <v>3.14</v>
      </c>
      <c r="R8" s="8">
        <v>3.14</v>
      </c>
      <c r="S8" s="8">
        <v>3.14</v>
      </c>
      <c r="T8" s="9">
        <f>'[5]Dispatch tracker'!$T$3</f>
        <v>1273426319.6960022</v>
      </c>
      <c r="U8" s="9">
        <f>'[5]Dispatch tracker'!$Y$3</f>
        <v>1087682972</v>
      </c>
      <c r="V8" s="9">
        <f t="shared" si="1"/>
        <v>185743347.69600224</v>
      </c>
      <c r="W8" s="9"/>
      <c r="X8" s="9"/>
      <c r="Y8" s="9"/>
    </row>
    <row r="9" spans="3:25" x14ac:dyDescent="0.3">
      <c r="C9" s="6" t="s">
        <v>30</v>
      </c>
      <c r="D9" s="6" t="s">
        <v>31</v>
      </c>
      <c r="E9" s="6" t="s">
        <v>17</v>
      </c>
      <c r="F9" s="6">
        <v>535</v>
      </c>
      <c r="G9" s="6" t="s">
        <v>12</v>
      </c>
      <c r="H9" s="6">
        <f>'[6]Order Details'!$E$2</f>
        <v>20088</v>
      </c>
      <c r="I9" s="7">
        <f>'[6]Dispatch Tracker'!$H$2</f>
        <v>15167</v>
      </c>
      <c r="J9" s="7">
        <f t="shared" si="3"/>
        <v>4921</v>
      </c>
      <c r="K9" s="8"/>
      <c r="L9" s="8"/>
      <c r="M9" s="8"/>
      <c r="N9" s="8">
        <f>'[6]Order Details'!$G$2</f>
        <v>10.74708</v>
      </c>
      <c r="O9" s="8">
        <f>'[6]Dispatch Tracker'!$I$2</f>
        <v>8.1143449999999984</v>
      </c>
      <c r="P9" s="8">
        <f t="shared" si="0"/>
        <v>2.632735000000002</v>
      </c>
      <c r="Q9" s="8">
        <f>K9*F9/10^6</f>
        <v>0</v>
      </c>
      <c r="R9" s="8">
        <f t="shared" si="2"/>
        <v>0</v>
      </c>
      <c r="S9" s="8">
        <f>M9*F9/10^6</f>
        <v>0</v>
      </c>
      <c r="T9" s="9">
        <f>'[6]Dispatch Tracker'!$O$2</f>
        <v>170238958.10000002</v>
      </c>
      <c r="U9" s="9">
        <v>0</v>
      </c>
      <c r="V9" s="9">
        <f t="shared" si="1"/>
        <v>170238958.10000002</v>
      </c>
      <c r="W9" s="9"/>
      <c r="X9" s="9"/>
      <c r="Y9" s="9"/>
    </row>
    <row r="10" spans="3:25" x14ac:dyDescent="0.3">
      <c r="C10" s="6" t="s">
        <v>30</v>
      </c>
      <c r="D10" s="6" t="s">
        <v>32</v>
      </c>
      <c r="E10" s="6" t="s">
        <v>37</v>
      </c>
      <c r="F10" s="6">
        <v>535</v>
      </c>
      <c r="G10" s="6" t="s">
        <v>12</v>
      </c>
      <c r="H10" s="6">
        <v>52080</v>
      </c>
      <c r="I10" s="6">
        <v>11160</v>
      </c>
      <c r="J10" s="7">
        <f t="shared" si="3"/>
        <v>40920</v>
      </c>
      <c r="K10" s="6"/>
      <c r="L10" s="6"/>
      <c r="M10" s="6">
        <v>9920</v>
      </c>
      <c r="N10" s="6">
        <f>H10*F10/10^6</f>
        <v>27.8628</v>
      </c>
      <c r="O10" s="6">
        <f>I10*F10/10^6</f>
        <v>5.9706000000000001</v>
      </c>
      <c r="P10" s="6">
        <f>N10-O10</f>
        <v>21.892199999999999</v>
      </c>
      <c r="Q10" s="8">
        <f>K10*F10/10^6</f>
        <v>0</v>
      </c>
      <c r="R10" s="8">
        <f t="shared" si="2"/>
        <v>0</v>
      </c>
      <c r="S10" s="8">
        <f>M10*F10/10^6</f>
        <v>5.3071999999999999</v>
      </c>
      <c r="T10" s="6"/>
      <c r="U10" s="6"/>
      <c r="V10" s="6"/>
      <c r="W10" s="6"/>
      <c r="X10" s="6"/>
      <c r="Y10" s="6"/>
    </row>
    <row r="11" spans="3:25" x14ac:dyDescent="0.3">
      <c r="C11" s="6" t="s">
        <v>30</v>
      </c>
      <c r="D11" s="6" t="s">
        <v>32</v>
      </c>
      <c r="E11" s="6" t="s">
        <v>38</v>
      </c>
      <c r="F11" s="6">
        <v>535</v>
      </c>
      <c r="G11" s="6" t="s">
        <v>12</v>
      </c>
      <c r="H11" s="6">
        <v>1860</v>
      </c>
      <c r="I11" s="6"/>
      <c r="J11" s="7">
        <f t="shared" si="3"/>
        <v>1860</v>
      </c>
      <c r="K11" s="6"/>
      <c r="L11" s="6"/>
      <c r="M11" s="6"/>
      <c r="N11" s="6">
        <f t="shared" ref="N11:N13" si="4">H11*F11/10^6</f>
        <v>0.99509999999999998</v>
      </c>
      <c r="O11" s="6">
        <f t="shared" ref="O11:O13" si="5">I11*F11/10^6</f>
        <v>0</v>
      </c>
      <c r="P11" s="6">
        <f t="shared" ref="P11:P13" si="6">N11-O11</f>
        <v>0.99509999999999998</v>
      </c>
      <c r="Q11" s="8">
        <f>K11*F11/10^6</f>
        <v>0</v>
      </c>
      <c r="R11" s="8">
        <f t="shared" si="2"/>
        <v>0</v>
      </c>
      <c r="S11" s="8">
        <f>M11*F11/10^6</f>
        <v>0</v>
      </c>
      <c r="T11" s="6"/>
      <c r="U11" s="6"/>
      <c r="V11" s="6"/>
      <c r="W11" s="6"/>
      <c r="X11" s="6"/>
      <c r="Y11" s="6"/>
    </row>
    <row r="12" spans="3:25" x14ac:dyDescent="0.3">
      <c r="C12" s="6" t="s">
        <v>30</v>
      </c>
      <c r="D12" s="6" t="s">
        <v>32</v>
      </c>
      <c r="E12" s="6" t="s">
        <v>33</v>
      </c>
      <c r="F12" s="6">
        <v>540</v>
      </c>
      <c r="G12" s="6" t="s">
        <v>12</v>
      </c>
      <c r="H12" s="6">
        <v>5580</v>
      </c>
      <c r="I12" s="6">
        <v>4743</v>
      </c>
      <c r="J12" s="7">
        <f t="shared" si="3"/>
        <v>837</v>
      </c>
      <c r="K12" s="6"/>
      <c r="L12" s="6"/>
      <c r="M12" s="6"/>
      <c r="N12" s="6">
        <f t="shared" si="4"/>
        <v>3.0131999999999999</v>
      </c>
      <c r="O12" s="6">
        <f t="shared" si="5"/>
        <v>2.5612200000000001</v>
      </c>
      <c r="P12" s="6">
        <f t="shared" si="6"/>
        <v>0.45197999999999983</v>
      </c>
      <c r="Q12" s="8">
        <f>K12*F12/10^6</f>
        <v>0</v>
      </c>
      <c r="R12" s="8">
        <f t="shared" si="2"/>
        <v>0</v>
      </c>
      <c r="S12" s="8">
        <f>M12*F12/10^6</f>
        <v>0</v>
      </c>
      <c r="T12" s="6"/>
      <c r="U12" s="6"/>
      <c r="V12" s="6"/>
      <c r="W12" s="6"/>
      <c r="X12" s="6"/>
      <c r="Y12" s="6"/>
    </row>
    <row r="13" spans="3:25" x14ac:dyDescent="0.3">
      <c r="C13" s="6" t="s">
        <v>30</v>
      </c>
      <c r="D13" s="6" t="s">
        <v>32</v>
      </c>
      <c r="E13" s="6" t="s">
        <v>34</v>
      </c>
      <c r="F13" s="6"/>
      <c r="G13" s="6"/>
      <c r="H13" s="6"/>
      <c r="I13" s="6"/>
      <c r="J13" s="7">
        <f t="shared" si="3"/>
        <v>0</v>
      </c>
      <c r="K13" s="6"/>
      <c r="L13" s="6"/>
      <c r="M13" s="6"/>
      <c r="N13" s="6">
        <f t="shared" si="4"/>
        <v>0</v>
      </c>
      <c r="O13" s="6">
        <f t="shared" si="5"/>
        <v>0</v>
      </c>
      <c r="P13" s="6">
        <f t="shared" si="6"/>
        <v>0</v>
      </c>
      <c r="Q13" s="8">
        <f>K13*F13/10^6</f>
        <v>0</v>
      </c>
      <c r="R13" s="8">
        <f t="shared" si="2"/>
        <v>0</v>
      </c>
      <c r="S13" s="8">
        <f>M13*F13/10^6</f>
        <v>0</v>
      </c>
      <c r="T13" s="6"/>
      <c r="U13" s="6"/>
      <c r="V13" s="6"/>
      <c r="W13" s="6"/>
      <c r="X13" s="6"/>
      <c r="Y13" s="6"/>
    </row>
    <row r="14" spans="3:25" x14ac:dyDescent="0.3">
      <c r="C14" s="6" t="s">
        <v>30</v>
      </c>
      <c r="D14" s="6" t="s">
        <v>32</v>
      </c>
      <c r="E14" s="6" t="s">
        <v>39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3:25" x14ac:dyDescent="0.3">
      <c r="C15" s="6" t="s">
        <v>30</v>
      </c>
      <c r="D15" s="6" t="s">
        <v>32</v>
      </c>
      <c r="E15" s="6" t="s">
        <v>40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3:25" x14ac:dyDescent="0.3">
      <c r="C16" s="6" t="s">
        <v>30</v>
      </c>
      <c r="D16" s="6" t="s">
        <v>31</v>
      </c>
      <c r="E16" s="6" t="s">
        <v>41</v>
      </c>
      <c r="F16" s="6">
        <v>540</v>
      </c>
      <c r="G16" s="6" t="s">
        <v>12</v>
      </c>
      <c r="H16" s="6">
        <v>120000</v>
      </c>
      <c r="I16" s="7">
        <f>'[7]Dispatch Tracker'!$I$2</f>
        <v>60140</v>
      </c>
      <c r="J16" s="7">
        <f>H16-I16</f>
        <v>59860</v>
      </c>
      <c r="K16" s="6"/>
      <c r="L16" s="6"/>
      <c r="M16" s="6"/>
      <c r="N16" s="8">
        <f>'[7]PO Details'!$G$2</f>
        <v>64.8</v>
      </c>
      <c r="O16" s="8">
        <f>'[7]Dispatch Tracker'!$J$2</f>
        <v>32.47560000000005</v>
      </c>
      <c r="P16" s="8">
        <f>N16-O16</f>
        <v>32.324399999999947</v>
      </c>
      <c r="Q16" s="6"/>
      <c r="R16" s="6"/>
      <c r="S16" s="6"/>
      <c r="T16" s="11">
        <f>'[7]Dispatch Tracker'!$Q$2</f>
        <v>708.75</v>
      </c>
      <c r="U16" s="12">
        <f>'[7]Payment Details'!$C$1-10000000</f>
        <v>636988889</v>
      </c>
      <c r="V16" s="11">
        <f>T16-U16</f>
        <v>-636988180.25</v>
      </c>
      <c r="W16" s="6"/>
      <c r="X16" s="6"/>
      <c r="Y16" s="6"/>
    </row>
    <row r="17" spans="3:25" x14ac:dyDescent="0.3">
      <c r="C17" s="6" t="s">
        <v>30</v>
      </c>
      <c r="D17" s="6" t="s">
        <v>31</v>
      </c>
      <c r="E17" s="6" t="s">
        <v>42</v>
      </c>
      <c r="F17" s="6" t="s">
        <v>44</v>
      </c>
      <c r="G17" s="6" t="s">
        <v>12</v>
      </c>
      <c r="H17" s="6">
        <f>'[8]PO Details'!$E$1</f>
        <v>8680</v>
      </c>
      <c r="I17" s="7">
        <f>'[8]Dispatch Tracker'!$I$2</f>
        <v>8060</v>
      </c>
      <c r="J17" s="7">
        <f>H17-I17</f>
        <v>620</v>
      </c>
      <c r="K17" s="6"/>
      <c r="L17" s="6"/>
      <c r="M17" s="6"/>
      <c r="N17" s="6">
        <f>'[8]PO Details'!$G$1</f>
        <v>4.4143999999999997</v>
      </c>
      <c r="O17" s="8">
        <f>'[8]Dispatch Tracker'!$J$2</f>
        <v>4.1044</v>
      </c>
      <c r="P17" s="8">
        <f>N17-O17</f>
        <v>0.30999999999999961</v>
      </c>
      <c r="Q17" s="6"/>
      <c r="R17" s="6"/>
      <c r="S17" s="6"/>
      <c r="T17" s="6"/>
      <c r="U17" s="6"/>
      <c r="V17" s="6"/>
      <c r="W17" s="6"/>
      <c r="X17" s="6"/>
      <c r="Y17" s="6"/>
    </row>
    <row r="18" spans="3:25" x14ac:dyDescent="0.3">
      <c r="C18" s="6" t="s">
        <v>30</v>
      </c>
      <c r="D18" s="6" t="s">
        <v>31</v>
      </c>
      <c r="E18" s="6" t="s">
        <v>43</v>
      </c>
      <c r="F18" s="6">
        <v>540</v>
      </c>
      <c r="G18" s="6" t="s">
        <v>12</v>
      </c>
      <c r="H18" s="6">
        <f>'[9]PO Details'!$E$1</f>
        <v>8060</v>
      </c>
      <c r="I18" s="7">
        <f>'[9]Dispatch Tracker'!$H$2</f>
        <v>10540</v>
      </c>
      <c r="J18" s="7">
        <f>H18-I18</f>
        <v>-2480</v>
      </c>
      <c r="K18" s="6"/>
      <c r="L18" s="6"/>
      <c r="M18" s="6"/>
      <c r="N18" s="6">
        <f>'[9]PO Details'!$G$1</f>
        <v>4.3523999999999994</v>
      </c>
      <c r="O18" s="8">
        <f>'[9]Dispatch Tracker'!$I$2</f>
        <v>5.6916000000000002</v>
      </c>
      <c r="P18" s="8">
        <f>N18-O18</f>
        <v>-1.3392000000000008</v>
      </c>
      <c r="Q18" s="6"/>
      <c r="R18" s="6"/>
      <c r="S18" s="6"/>
      <c r="T18" s="11">
        <f>'[9]Dispatch Tracker'!$Q$2</f>
        <v>114924787.19999997</v>
      </c>
      <c r="U18" s="12">
        <f>'[9]Payment Details'!$C$1</f>
        <v>135214010</v>
      </c>
      <c r="V18" s="11">
        <f>T18-U18</f>
        <v>-20289222.800000027</v>
      </c>
      <c r="W18" s="6"/>
      <c r="X18" s="6"/>
      <c r="Y1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F786-3FB9-474C-82ED-F72B9A4BB15E}">
  <dimension ref="D3:K12"/>
  <sheetViews>
    <sheetView workbookViewId="0">
      <selection activeCell="H2" sqref="H2:M7"/>
    </sheetView>
  </sheetViews>
  <sheetFormatPr defaultRowHeight="14.4" x14ac:dyDescent="0.3"/>
  <sheetData>
    <row r="3" spans="4:11" x14ac:dyDescent="0.3">
      <c r="D3">
        <v>60034720</v>
      </c>
      <c r="I3" s="3"/>
      <c r="K3" s="3"/>
    </row>
    <row r="4" spans="4:11" x14ac:dyDescent="0.3">
      <c r="D4">
        <v>60034242</v>
      </c>
      <c r="I4" s="3"/>
      <c r="K4" s="3"/>
    </row>
    <row r="5" spans="4:11" x14ac:dyDescent="0.3">
      <c r="D5">
        <v>60034014</v>
      </c>
      <c r="I5" s="3"/>
    </row>
    <row r="6" spans="4:11" x14ac:dyDescent="0.3">
      <c r="D6">
        <v>60033655</v>
      </c>
    </row>
    <row r="7" spans="4:11" x14ac:dyDescent="0.3">
      <c r="D7">
        <v>60032605</v>
      </c>
    </row>
    <row r="8" spans="4:11" x14ac:dyDescent="0.3">
      <c r="D8">
        <v>60032271</v>
      </c>
    </row>
    <row r="9" spans="4:11" x14ac:dyDescent="0.3">
      <c r="D9">
        <v>60031589</v>
      </c>
    </row>
    <row r="10" spans="4:11" x14ac:dyDescent="0.3">
      <c r="D10">
        <v>60031589</v>
      </c>
    </row>
    <row r="11" spans="4:11" x14ac:dyDescent="0.3">
      <c r="D11">
        <v>60031567</v>
      </c>
    </row>
    <row r="12" spans="4:11" x14ac:dyDescent="0.3">
      <c r="D12">
        <v>60031557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Subhasish Pattanaik</dc:creator>
  <cp:lastModifiedBy>Subhasish.p Pattanaik</cp:lastModifiedBy>
  <dcterms:created xsi:type="dcterms:W3CDTF">2015-06-05T18:17:20Z</dcterms:created>
  <dcterms:modified xsi:type="dcterms:W3CDTF">2026-08-19T05:59:38Z</dcterms:modified>
</cp:coreProperties>
</file>