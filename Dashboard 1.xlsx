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Nithin\Vendor tracker\"/>
    </mc:Choice>
  </mc:AlternateContent>
  <xr:revisionPtr revIDLastSave="0" documentId="13_ncr:1_{BB294924-1356-460F-BC56-8FE5C9B3FC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M8" i="2"/>
  <c r="G8" i="2"/>
  <c r="R9" i="2"/>
  <c r="R7" i="2"/>
  <c r="R6" i="2" l="1"/>
  <c r="R5" i="2" l="1"/>
  <c r="S5" i="2"/>
  <c r="T5" i="2" l="1"/>
  <c r="W4" i="2"/>
  <c r="N7" i="2" l="1"/>
  <c r="M7" i="2"/>
  <c r="H7" i="2"/>
  <c r="G7" i="2"/>
  <c r="N9" i="2" l="1"/>
  <c r="M9" i="2"/>
  <c r="H9" i="2"/>
  <c r="G9" i="2"/>
  <c r="I9" i="2" l="1"/>
  <c r="O9" i="2"/>
  <c r="O7" i="2"/>
  <c r="I7" i="2"/>
  <c r="H6" i="2" l="1"/>
  <c r="N6" i="2" s="1"/>
  <c r="G6" i="2"/>
  <c r="M6" i="2" s="1"/>
  <c r="O6" i="2" l="1"/>
  <c r="I6" i="2"/>
  <c r="H5" i="2"/>
  <c r="N5" i="2" s="1"/>
  <c r="G5" i="2"/>
  <c r="M5" i="2" s="1"/>
  <c r="O5" i="2" s="1"/>
  <c r="I5" i="2" l="1"/>
  <c r="G4" i="2"/>
  <c r="M4" i="2" s="1"/>
  <c r="N4" i="2" l="1"/>
  <c r="O4" i="2" s="1"/>
  <c r="I4" i="2"/>
  <c r="S4" i="2" l="1"/>
  <c r="R4" i="2" l="1"/>
  <c r="T4" i="2" s="1"/>
  <c r="S8" i="2" l="1"/>
  <c r="H8" i="2"/>
  <c r="I8" i="2" s="1"/>
  <c r="N8" i="2" l="1"/>
  <c r="O8" i="2" s="1"/>
  <c r="R8" i="2" l="1"/>
  <c r="T8" i="2" s="1"/>
</calcChain>
</file>

<file path=xl/sharedStrings.xml><?xml version="1.0" encoding="utf-8"?>
<sst xmlns="http://schemas.openxmlformats.org/spreadsheetml/2006/main" count="58" uniqueCount="37">
  <si>
    <t>Customer Name</t>
  </si>
  <si>
    <t>PO Quantity (Nos)</t>
  </si>
  <si>
    <t>Dispatch quantity (Nos)</t>
  </si>
  <si>
    <t>PO Quantity (MW)</t>
  </si>
  <si>
    <t>Dispatch quantity (MW)</t>
  </si>
  <si>
    <t>Pending Quantoty (MW)</t>
  </si>
  <si>
    <t>WP</t>
  </si>
  <si>
    <t>DCR/NDCR</t>
  </si>
  <si>
    <t>Amara Raja</t>
  </si>
  <si>
    <t>N DCR</t>
  </si>
  <si>
    <t>Amigo Green</t>
  </si>
  <si>
    <t>DCR</t>
  </si>
  <si>
    <t>Crompton (AP)</t>
  </si>
  <si>
    <t>Crompton (GJ)</t>
  </si>
  <si>
    <t>Ecozen</t>
  </si>
  <si>
    <t>500-540</t>
  </si>
  <si>
    <t>GK (June revised PO)</t>
  </si>
  <si>
    <t>Amount Received</t>
  </si>
  <si>
    <t xml:space="preserve">Amount Due </t>
  </si>
  <si>
    <t>BOE Filed Against LC</t>
  </si>
  <si>
    <t>BOE Acceptance Recevied</t>
  </si>
  <si>
    <t xml:space="preserve">BOE Acceptance Pending </t>
  </si>
  <si>
    <t>Amount Pending</t>
  </si>
  <si>
    <t>MDCC Received(Nos)</t>
  </si>
  <si>
    <t>MDCC Received(MW)</t>
  </si>
  <si>
    <t>Stock(Nos)</t>
  </si>
  <si>
    <t>Stock(MW)</t>
  </si>
  <si>
    <t>Lead</t>
  </si>
  <si>
    <t>Sublead</t>
  </si>
  <si>
    <t>Subhasish</t>
  </si>
  <si>
    <t>Hemanth</t>
  </si>
  <si>
    <t>Shakti</t>
  </si>
  <si>
    <t>Sawan</t>
  </si>
  <si>
    <t>Solar Square Mono</t>
  </si>
  <si>
    <t>Solar Square Topcon</t>
  </si>
  <si>
    <t>Clearance Given to Store(Nos)</t>
  </si>
  <si>
    <t>Pending Quantity (Nos)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</si>
</sst>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Sheet2!$B$4:$F$4</c:f>
              <c:strCache>
                <c:ptCount val="5"/>
                <c:pt idx="0">
                  <c:v>Amara Raja</c:v>
                </c:pt>
                <c:pt idx="1">
                  <c:v>Subhasish</c:v>
                </c:pt>
                <c:pt idx="2">
                  <c:v>Hemanth</c:v>
                </c:pt>
                <c:pt idx="3">
                  <c:v>615</c:v>
                </c:pt>
                <c:pt idx="4">
                  <c:v>N DCR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Sheet2!$G$3:$W$3</c15:sqref>
                  </c15:fullRef>
                </c:ext>
              </c:extLst>
              <c:f>Sheet2!$G$3:$Q$3</c:f>
              <c:strCache>
                <c:ptCount val="11"/>
                <c:pt idx="0">
                  <c:v>PO Quantity (Nos)</c:v>
                </c:pt>
                <c:pt idx="1">
                  <c:v>Dispatch quantity (Nos)</c:v>
                </c:pt>
                <c:pt idx="2">
                  <c:v>Pending Quantity (Nos)</c:v>
                </c:pt>
                <c:pt idx="3">
                  <c:v>Stock(Nos)</c:v>
                </c:pt>
                <c:pt idx="4">
                  <c:v>MDCC Received(Nos)</c:v>
                </c:pt>
                <c:pt idx="5">
                  <c:v>Clearance Given to Store(Nos)</c:v>
                </c:pt>
                <c:pt idx="6">
                  <c:v>PO Quantity (MW)</c:v>
                </c:pt>
                <c:pt idx="7">
                  <c:v>Dispatch quantity (MW)</c:v>
                </c:pt>
                <c:pt idx="8">
                  <c:v>Pending Quantoty (MW)</c:v>
                </c:pt>
                <c:pt idx="9">
                  <c:v>MDCC Received(MW)</c:v>
                </c:pt>
                <c:pt idx="10">
                  <c:v>Stock(MW)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Sheet2!$G$4:$W$4</c15:sqref>
                  </c15:fullRef>
                </c:ext>
              </c:extLst>
              <c:f>Sheet2!$G$4:$Q$4</c:f>
              <c:numCache>
                <c:formatCode>0</c:formatCode>
                <c:ptCount val="11"/>
                <c:pt idx="0" formatCode="General">
                  <c:v>406505</c:v>
                </c:pt>
                <c:pt idx="1">
                  <c:v>228160</c:v>
                </c:pt>
                <c:pt idx="2">
                  <c:v>178345</c:v>
                </c:pt>
                <c:pt idx="6" formatCode="0.00">
                  <c:v>250.000575</c:v>
                </c:pt>
                <c:pt idx="7" formatCode="0.00">
                  <c:v>140.3184</c:v>
                </c:pt>
                <c:pt idx="8" formatCode="0.00">
                  <c:v>109.682175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2-4A03-AB3A-1A61A31A3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529648"/>
        <c:axId val="15945301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Sheet2!$B$5:$F$5</c15:sqref>
                        </c15:formulaRef>
                      </c:ext>
                    </c:extLst>
                    <c:strCache>
                      <c:ptCount val="5"/>
                      <c:pt idx="0">
                        <c:v>Amigo Green</c:v>
                      </c:pt>
                      <c:pt idx="1">
                        <c:v>Subhasish</c:v>
                      </c:pt>
                      <c:pt idx="2">
                        <c:v>Hemanth</c:v>
                      </c:pt>
                      <c:pt idx="3">
                        <c:v>550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Sheet2!$G$3:$W$3</c15:sqref>
                        </c15:fullRef>
                        <c15:formulaRef>
                          <c15:sqref>Sheet2!$G$3:$Q$3</c15:sqref>
                        </c15:formulaRef>
                      </c:ext>
                    </c:extLst>
                    <c:strCache>
                      <c:ptCount val="11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Quantity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Store(Nos)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MDCC Received(MW)</c:v>
                      </c:pt>
                      <c:pt idx="10">
                        <c:v>Stock(MW)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Sheet2!$G$5:$W$5</c15:sqref>
                        </c15:fullRef>
                        <c15:formulaRef>
                          <c15:sqref>Sheet2!$G$5:$Q$5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1860</c:v>
                      </c:pt>
                      <c:pt idx="1">
                        <c:v>620</c:v>
                      </c:pt>
                      <c:pt idx="2" formatCode="0">
                        <c:v>1240</c:v>
                      </c:pt>
                      <c:pt idx="6" formatCode="0.00">
                        <c:v>1.0229999999999999</c:v>
                      </c:pt>
                      <c:pt idx="7" formatCode="0.00">
                        <c:v>0.34100000000000003</c:v>
                      </c:pt>
                      <c:pt idx="8" formatCode="0.00">
                        <c:v>0.68199999999999994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482-4A03-AB3A-1A61A31A3BB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Sheet2!$B$6:$F$6</c15:sqref>
                        </c15:formulaRef>
                      </c:ext>
                    </c:extLst>
                    <c:strCache>
                      <c:ptCount val="5"/>
                      <c:pt idx="0">
                        <c:v>Crompton (AP)</c:v>
                      </c:pt>
                      <c:pt idx="1">
                        <c:v>Subhasish</c:v>
                      </c:pt>
                      <c:pt idx="2">
                        <c:v>Hemanth</c:v>
                      </c:pt>
                      <c:pt idx="3">
                        <c:v>525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Sheet2!$G$3:$W$3</c15:sqref>
                        </c15:fullRef>
                        <c15:formulaRef>
                          <c15:sqref>Sheet2!$G$3:$Q$3</c15:sqref>
                        </c15:formulaRef>
                      </c:ext>
                    </c:extLst>
                    <c:strCache>
                      <c:ptCount val="11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Quantity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Store(Nos)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MDCC Received(MW)</c:v>
                      </c:pt>
                      <c:pt idx="10">
                        <c:v>Stock(MW)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Sheet2!$G$6:$W$6</c15:sqref>
                        </c15:fullRef>
                        <c15:formulaRef>
                          <c15:sqref>Sheet2!$G$6:$Q$6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 formatCode="General">
                        <c:v>40000</c:v>
                      </c:pt>
                      <c:pt idx="1">
                        <c:v>37696</c:v>
                      </c:pt>
                      <c:pt idx="2">
                        <c:v>2304</c:v>
                      </c:pt>
                      <c:pt idx="6" formatCode="0.00">
                        <c:v>21</c:v>
                      </c:pt>
                      <c:pt idx="7" formatCode="0.00">
                        <c:v>19.790400000000002</c:v>
                      </c:pt>
                      <c:pt idx="8" formatCode="0.00">
                        <c:v>1.2095999999999982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82-4A03-AB3A-1A61A31A3B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Sheet2!$B$7:$F$7</c15:sqref>
                        </c15:formulaRef>
                      </c:ext>
                    </c:extLst>
                    <c:strCache>
                      <c:ptCount val="5"/>
                      <c:pt idx="0">
                        <c:v>Crompton (GJ)</c:v>
                      </c:pt>
                      <c:pt idx="1">
                        <c:v>Subhasish</c:v>
                      </c:pt>
                      <c:pt idx="2">
                        <c:v>Hemanth</c:v>
                      </c:pt>
                      <c:pt idx="3">
                        <c:v>600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Sheet2!$G$3:$W$3</c15:sqref>
                        </c15:fullRef>
                        <c15:formulaRef>
                          <c15:sqref>Sheet2!$G$3:$Q$3</c15:sqref>
                        </c15:formulaRef>
                      </c:ext>
                    </c:extLst>
                    <c:strCache>
                      <c:ptCount val="11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Quantity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Store(Nos)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MDCC Received(MW)</c:v>
                      </c:pt>
                      <c:pt idx="10">
                        <c:v>Stock(MW)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Sheet2!$G$7:$W$7</c15:sqref>
                        </c15:fullRef>
                        <c15:formulaRef>
                          <c15:sqref>Sheet2!$G$7:$Q$7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 formatCode="General">
                        <c:v>3720</c:v>
                      </c:pt>
                      <c:pt idx="1">
                        <c:v>1860</c:v>
                      </c:pt>
                      <c:pt idx="2">
                        <c:v>1860</c:v>
                      </c:pt>
                      <c:pt idx="6" formatCode="0.00">
                        <c:v>2.2320000000000002</c:v>
                      </c:pt>
                      <c:pt idx="7" formatCode="0.00">
                        <c:v>1.1160000000000001</c:v>
                      </c:pt>
                      <c:pt idx="8" formatCode="0.00">
                        <c:v>1.1160000000000001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82-4A03-AB3A-1A61A31A3BB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Sheet2!$B$8:$F$8</c15:sqref>
                        </c15:formulaRef>
                      </c:ext>
                    </c:extLst>
                    <c:strCache>
                      <c:ptCount val="5"/>
                      <c:pt idx="0">
                        <c:v>Ecozen</c:v>
                      </c:pt>
                      <c:pt idx="1">
                        <c:v>Subhasish</c:v>
                      </c:pt>
                      <c:pt idx="2">
                        <c:v>Hemanth</c:v>
                      </c:pt>
                      <c:pt idx="3">
                        <c:v>500-540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Sheet2!$G$3:$W$3</c15:sqref>
                        </c15:fullRef>
                        <c15:formulaRef>
                          <c15:sqref>Sheet2!$G$3:$Q$3</c15:sqref>
                        </c15:formulaRef>
                      </c:ext>
                    </c:extLst>
                    <c:strCache>
                      <c:ptCount val="11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Quantity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Store(Nos)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MDCC Received(MW)</c:v>
                      </c:pt>
                      <c:pt idx="10">
                        <c:v>Stock(MW)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Sheet2!$G$8:$W$8</c15:sqref>
                        </c15:fullRef>
                        <c15:formulaRef>
                          <c15:sqref>Sheet2!$G$8:$Q$8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144320</c:v>
                      </c:pt>
                      <c:pt idx="1">
                        <c:v>87464</c:v>
                      </c:pt>
                      <c:pt idx="2" formatCode="0">
                        <c:v>56856</c:v>
                      </c:pt>
                      <c:pt idx="6" formatCode="0.00">
                        <c:v>76.09920000000001</c:v>
                      </c:pt>
                      <c:pt idx="7" formatCode="0.00">
                        <c:v>46.390460000000068</c:v>
                      </c:pt>
                      <c:pt idx="8" formatCode="0.00">
                        <c:v>29.708739999999942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82-4A03-AB3A-1A61A31A3BB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Sheet2!$B$9:$F$9</c15:sqref>
                        </c15:formulaRef>
                      </c:ext>
                    </c:extLst>
                    <c:strCache>
                      <c:ptCount val="5"/>
                      <c:pt idx="0">
                        <c:v>GK (June revised PO)</c:v>
                      </c:pt>
                      <c:pt idx="1">
                        <c:v>Subhasish</c:v>
                      </c:pt>
                      <c:pt idx="2">
                        <c:v>Hemanth</c:v>
                      </c:pt>
                      <c:pt idx="3">
                        <c:v>535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Sheet2!$G$3:$W$3</c15:sqref>
                        </c15:fullRef>
                        <c15:formulaRef>
                          <c15:sqref>Sheet2!$G$3:$Q$3</c15:sqref>
                        </c15:formulaRef>
                      </c:ext>
                    </c:extLst>
                    <c:strCache>
                      <c:ptCount val="11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Quantity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Store(Nos)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MDCC Received(MW)</c:v>
                      </c:pt>
                      <c:pt idx="10">
                        <c:v>Stock(MW)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Sheet2!$G$9:$W$9</c15:sqref>
                        </c15:fullRef>
                        <c15:formulaRef>
                          <c15:sqref>Sheet2!$G$9:$Q$9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 formatCode="General">
                        <c:v>20088</c:v>
                      </c:pt>
                      <c:pt idx="1">
                        <c:v>12811</c:v>
                      </c:pt>
                      <c:pt idx="2">
                        <c:v>7277</c:v>
                      </c:pt>
                      <c:pt idx="6" formatCode="0.00">
                        <c:v>10.74708</c:v>
                      </c:pt>
                      <c:pt idx="7" formatCode="0.00">
                        <c:v>6.8538849999999982</c:v>
                      </c:pt>
                      <c:pt idx="8" formatCode="0.00">
                        <c:v>3.8931950000000022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482-4A03-AB3A-1A61A31A3BB9}"/>
                  </c:ext>
                </c:extLst>
              </c15:ser>
            </c15:filteredBarSeries>
          </c:ext>
        </c:extLst>
      </c:barChart>
      <c:catAx>
        <c:axId val="15945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30128"/>
        <c:crosses val="autoZero"/>
        <c:auto val="1"/>
        <c:lblAlgn val="ctr"/>
        <c:lblOffset val="100"/>
        <c:noMultiLvlLbl val="0"/>
      </c:catAx>
      <c:valAx>
        <c:axId val="15945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121920</xdr:rowOff>
    </xdr:from>
    <xdr:to>
      <xdr:col>12</xdr:col>
      <xdr:colOff>342900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A1C59-1AB1-4E4F-B10C-242D91F1D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subhasish_p_premierenergies_com/Documents/Subhasish%20Pattanaik%20Data/Customer%20Data/Module/Amara%20Raja%20Topcon%20April%202026/Amara%20Raja%20Tracker%20Topcon.xlsx" TargetMode="External"/><Relationship Id="rId1" Type="http://schemas.openxmlformats.org/officeDocument/2006/relationships/externalLinkPath" Target="https://adminpel-my.sharepoint.com/personal/subhasish_p_premierenergies_com/Documents/Subhasish%20Pattanaik%20Data/Customer%20Data/Module/Amara%20Raja%20Topcon%20April%202026/Amara%20Raja%20Tracker%20Topc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subhasish_p_premierenergies_com/Documents/Subhasish%20Pattanaik%20Data/Customer%20Data/Module/Amigo%20Green/Amigo%20Green%20Tracker.xlsx" TargetMode="External"/><Relationship Id="rId1" Type="http://schemas.openxmlformats.org/officeDocument/2006/relationships/externalLinkPath" Target="https://adminpel-my.sharepoint.com/personal/subhasish_p_premierenergies_com/Documents/Subhasish%20Pattanaik%20Data/Customer%20Data/Module/Amigo%20Green/Amigo%20Green%20Track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subhasish_p_premierenergies_com/Documents/Subhasish%20Pattanaik%20Data/Customer%20Data/Module/Crompton/Crompton%20May%20order/Crompton%20Tracker%20May.xlsx" TargetMode="External"/><Relationship Id="rId1" Type="http://schemas.openxmlformats.org/officeDocument/2006/relationships/externalLinkPath" Target="https://adminpel-my.sharepoint.com/personal/subhasish_p_premierenergies_com/Documents/Subhasish%20Pattanaik%20Data/Customer%20Data/Module/Crompton/Crompton%20May%20order/Crompton%20Tracker%20Ma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subhasish_p_premierenergies_com/Documents/Subhasish%20Pattanaik%20Data/Customer%20Data/Module/Crompton/Crompton%20Topcon%20Order/Crompton%20Tracker%20Tocon%20June.xlsx" TargetMode="External"/><Relationship Id="rId1" Type="http://schemas.openxmlformats.org/officeDocument/2006/relationships/externalLinkPath" Target="https://adminpel-my.sharepoint.com/personal/subhasish_p_premierenergies_com/Documents/Subhasish%20Pattanaik%20Data/Customer%20Data/Module/Crompton/Crompton%20Topcon%20Order/Crompton%20Tracker%20Tocon%20Jun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subhasish_p_premierenergies_com/Documents/Subhasish%20Pattanaik%20Data/Customer%20Data/Module/Ecozen/Ecozen%20New%20Order%20April%2050%20MW/Ecozen%20Tracker.xlsx" TargetMode="External"/><Relationship Id="rId1" Type="http://schemas.openxmlformats.org/officeDocument/2006/relationships/externalLinkPath" Target="https://adminpel-my.sharepoint.com/personal/subhasish_p_premierenergies_com/Documents/Subhasish%20Pattanaik%20Data/Customer%20Data/Module/Ecozen/Ecozen%20New%20Order%20April%2050%20MW/Ecozen%20Track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subhasish_p_premierenergies_com/Documents/Subhasish%20Pattanaik%20Data/Customer%20Data/Module/GK%20Energy/GK%20June%202026/GK%20Tracker%20PO%20051.xlsx" TargetMode="External"/><Relationship Id="rId1" Type="http://schemas.openxmlformats.org/officeDocument/2006/relationships/externalLinkPath" Target="https://adminpel-my.sharepoint.com/personal/subhasish_p_premierenergies_com/Documents/Subhasish%20Pattanaik%20Data/Customer%20Data/Module/GK%20Energy/GK%20June%202026/GK%20Tracker%20PO%200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Details"/>
      <sheetName val="Payment details"/>
      <sheetName val="BOE Details"/>
      <sheetName val="Dispatch details"/>
      <sheetName val="Sheet1"/>
    </sheetNames>
    <sheetDataSet>
      <sheetData sheetId="0" refreshError="1">
        <row r="8">
          <cell r="G8">
            <v>406505</v>
          </cell>
        </row>
      </sheetData>
      <sheetData sheetId="1" refreshError="1"/>
      <sheetData sheetId="2" refreshError="1"/>
      <sheetData sheetId="3" refreshError="1">
        <row r="2">
          <cell r="G2">
            <v>228160</v>
          </cell>
          <cell r="L2">
            <v>1990486663.2000124</v>
          </cell>
          <cell r="M2">
            <v>1895701.5839999858</v>
          </cell>
          <cell r="N2">
            <v>189570158.40000078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Details"/>
      <sheetName val="Payment details"/>
      <sheetName val="Dispatch Tracker"/>
    </sheetNames>
    <sheetDataSet>
      <sheetData sheetId="0">
        <row r="3">
          <cell r="E3">
            <v>1860</v>
          </cell>
        </row>
      </sheetData>
      <sheetData sheetId="1">
        <row r="3">
          <cell r="C3">
            <v>8000000</v>
          </cell>
        </row>
      </sheetData>
      <sheetData sheetId="2">
        <row r="2">
          <cell r="I2">
            <v>620</v>
          </cell>
          <cell r="O2">
            <v>7243607.25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 Details"/>
      <sheetName val="Dispatch plan"/>
      <sheetName val="Payment Details"/>
      <sheetName val="LC Details"/>
      <sheetName val="Dispatch Tracker"/>
    </sheetNames>
    <sheetDataSet>
      <sheetData sheetId="0">
        <row r="4">
          <cell r="E4">
            <v>40000</v>
          </cell>
        </row>
      </sheetData>
      <sheetData sheetId="1"/>
      <sheetData sheetId="2"/>
      <sheetData sheetId="3"/>
      <sheetData sheetId="4">
        <row r="2">
          <cell r="H2">
            <v>37696</v>
          </cell>
          <cell r="M2">
            <v>411640320</v>
          </cell>
          <cell r="N2">
            <v>392038.40000000002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 Details"/>
      <sheetName val="Dispatch plan"/>
      <sheetName val="Payment Details"/>
      <sheetName val="LC Details"/>
      <sheetName val="Dispatch Tracker"/>
    </sheetNames>
    <sheetDataSet>
      <sheetData sheetId="0">
        <row r="2">
          <cell r="E2">
            <v>3720</v>
          </cell>
          <cell r="G2">
            <v>2.2320000000000002</v>
          </cell>
        </row>
      </sheetData>
      <sheetData sheetId="1"/>
      <sheetData sheetId="2"/>
      <sheetData sheetId="3"/>
      <sheetData sheetId="4">
        <row r="2">
          <cell r="H2">
            <v>1860</v>
          </cell>
          <cell r="I2">
            <v>1.1160000000000001</v>
          </cell>
          <cell r="M2">
            <v>20311200</v>
          </cell>
          <cell r="N2">
            <v>19344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Details"/>
      <sheetName val="Credit Details"/>
      <sheetName val="Payment Details"/>
      <sheetName val="Dispatch summary"/>
      <sheetName val="Location wise "/>
      <sheetName val="Dispatch tracker"/>
      <sheetName val="Sheet1"/>
      <sheetName val="Sheet2"/>
      <sheetName val="Sheet3"/>
    </sheetNames>
    <sheetDataSet>
      <sheetData sheetId="0">
        <row r="1">
          <cell r="H1">
            <v>144320</v>
          </cell>
          <cell r="I1">
            <v>76.09920000000001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">
          <cell r="K3">
            <v>87464</v>
          </cell>
          <cell r="L3">
            <v>46.390460000000068</v>
          </cell>
          <cell r="T3">
            <v>966549679.07200062</v>
          </cell>
          <cell r="Y3">
            <v>883400238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Details"/>
      <sheetName val="Summary"/>
      <sheetName val="Payment Details"/>
      <sheetName val="Dispatch Tracker"/>
      <sheetName val="Order Breakup"/>
      <sheetName val="CN Details"/>
    </sheetNames>
    <sheetDataSet>
      <sheetData sheetId="0">
        <row r="2">
          <cell r="E2">
            <v>20088</v>
          </cell>
          <cell r="G2">
            <v>10.74708</v>
          </cell>
        </row>
      </sheetData>
      <sheetData sheetId="1"/>
      <sheetData sheetId="2"/>
      <sheetData sheetId="3">
        <row r="2">
          <cell r="H2">
            <v>12811</v>
          </cell>
          <cell r="I2">
            <v>6.8538849999999982</v>
          </cell>
          <cell r="O2">
            <v>143794507.30000001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R15" sqref="R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20F1-4FAA-4DF4-B015-8406C76F51DD}">
  <dimension ref="B3:W12"/>
  <sheetViews>
    <sheetView tabSelected="1" workbookViewId="0">
      <selection activeCell="I4" sqref="I4"/>
    </sheetView>
  </sheetViews>
  <sheetFormatPr defaultColWidth="8.90625" defaultRowHeight="14.5" x14ac:dyDescent="0.35"/>
  <cols>
    <col min="1" max="1" width="8.90625" style="1"/>
    <col min="2" max="2" width="17.6328125" style="1" bestFit="1" customWidth="1"/>
    <col min="3" max="4" width="17.6328125" style="1" customWidth="1"/>
    <col min="5" max="5" width="14.36328125" style="1" customWidth="1"/>
    <col min="6" max="6" width="10.08984375" style="1" bestFit="1" customWidth="1"/>
    <col min="7" max="7" width="16.36328125" style="1" bestFit="1" customWidth="1"/>
    <col min="8" max="8" width="21" style="1" bestFit="1" customWidth="1"/>
    <col min="9" max="9" width="21.6328125" style="1" bestFit="1" customWidth="1"/>
    <col min="10" max="10" width="16.6328125" style="1" customWidth="1"/>
    <col min="11" max="11" width="19" style="1" bestFit="1" customWidth="1"/>
    <col min="12" max="12" width="26.1796875" style="1" bestFit="1" customWidth="1"/>
    <col min="13" max="13" width="16.6328125" style="1" bestFit="1" customWidth="1"/>
    <col min="14" max="14" width="21.453125" style="1" bestFit="1" customWidth="1"/>
    <col min="15" max="15" width="22" style="1" bestFit="1" customWidth="1"/>
    <col min="16" max="16" width="19" style="1" bestFit="1" customWidth="1"/>
    <col min="17" max="17" width="16.6328125" style="1" customWidth="1"/>
    <col min="18" max="18" width="16.36328125" style="1" bestFit="1" customWidth="1"/>
    <col min="19" max="19" width="18.90625" style="1" bestFit="1" customWidth="1"/>
    <col min="20" max="20" width="18.81640625" style="1" customWidth="1"/>
    <col min="21" max="21" width="21.08984375" style="1" bestFit="1" customWidth="1"/>
    <col min="22" max="22" width="26" style="1" bestFit="1" customWidth="1"/>
    <col min="23" max="23" width="22.453125" style="1" bestFit="1" customWidth="1"/>
    <col min="24" max="16384" width="8.90625" style="1"/>
  </cols>
  <sheetData>
    <row r="3" spans="2:23" s="4" customFormat="1" x14ac:dyDescent="0.35">
      <c r="B3" s="4" t="s">
        <v>0</v>
      </c>
      <c r="C3" s="4" t="s">
        <v>27</v>
      </c>
      <c r="D3" s="4" t="s">
        <v>28</v>
      </c>
      <c r="E3" s="4" t="s">
        <v>6</v>
      </c>
      <c r="F3" s="4" t="s">
        <v>7</v>
      </c>
      <c r="G3" s="4" t="s">
        <v>1</v>
      </c>
      <c r="H3" s="4" t="s">
        <v>2</v>
      </c>
      <c r="I3" s="4" t="s">
        <v>36</v>
      </c>
      <c r="J3" s="4" t="s">
        <v>25</v>
      </c>
      <c r="K3" s="4" t="s">
        <v>23</v>
      </c>
      <c r="L3" s="4" t="s">
        <v>35</v>
      </c>
      <c r="M3" s="4" t="s">
        <v>3</v>
      </c>
      <c r="N3" s="4" t="s">
        <v>4</v>
      </c>
      <c r="O3" s="4" t="s">
        <v>5</v>
      </c>
      <c r="P3" s="4" t="s">
        <v>24</v>
      </c>
      <c r="Q3" s="4" t="s">
        <v>26</v>
      </c>
      <c r="R3" s="4" t="s">
        <v>18</v>
      </c>
      <c r="S3" s="4" t="s">
        <v>17</v>
      </c>
      <c r="T3" s="4" t="s">
        <v>22</v>
      </c>
      <c r="U3" s="4" t="s">
        <v>19</v>
      </c>
      <c r="V3" s="4" t="s">
        <v>20</v>
      </c>
      <c r="W3" s="4" t="s">
        <v>21</v>
      </c>
    </row>
    <row r="4" spans="2:23" x14ac:dyDescent="0.35">
      <c r="B4" s="1" t="s">
        <v>8</v>
      </c>
      <c r="C4" s="1" t="s">
        <v>29</v>
      </c>
      <c r="D4" s="1" t="s">
        <v>30</v>
      </c>
      <c r="E4" s="1">
        <v>615</v>
      </c>
      <c r="F4" s="1" t="s">
        <v>9</v>
      </c>
      <c r="G4" s="1">
        <f>'[1]Order Details'!$G$8</f>
        <v>406505</v>
      </c>
      <c r="H4" s="2">
        <f>'[1]Dispatch details'!$G$2</f>
        <v>228160</v>
      </c>
      <c r="I4" s="2">
        <f>G4-H4</f>
        <v>178345</v>
      </c>
      <c r="J4" s="3"/>
      <c r="K4" s="3"/>
      <c r="L4" s="3"/>
      <c r="M4" s="3">
        <f>G4*E4/10^6</f>
        <v>250.000575</v>
      </c>
      <c r="N4" s="3">
        <f>E4*H4/10^6</f>
        <v>140.3184</v>
      </c>
      <c r="O4" s="3">
        <f t="shared" ref="O4:O9" si="0">M4-N4</f>
        <v>109.682175</v>
      </c>
      <c r="P4" s="3"/>
      <c r="Q4" s="3"/>
      <c r="R4" s="5">
        <f>'[1]Dispatch details'!$L$2-'[1]Dispatch details'!$M$2</f>
        <v>1988590961.6160126</v>
      </c>
      <c r="S4" s="5">
        <f>'[1]Dispatch details'!$N$2</f>
        <v>189570158.40000078</v>
      </c>
      <c r="T4" s="5">
        <f>R4-S4</f>
        <v>1799020803.2160118</v>
      </c>
      <c r="U4" s="5">
        <v>1135435832.9599979</v>
      </c>
      <c r="V4" s="5">
        <v>0</v>
      </c>
      <c r="W4" s="5">
        <f>U4-V4</f>
        <v>1135435832.9599979</v>
      </c>
    </row>
    <row r="5" spans="2:23" x14ac:dyDescent="0.35">
      <c r="B5" s="1" t="s">
        <v>10</v>
      </c>
      <c r="C5" s="1" t="s">
        <v>29</v>
      </c>
      <c r="D5" s="1" t="s">
        <v>30</v>
      </c>
      <c r="E5" s="1">
        <v>550</v>
      </c>
      <c r="F5" s="1" t="s">
        <v>11</v>
      </c>
      <c r="G5" s="1">
        <f>'[2]Order Details'!$E$3</f>
        <v>1860</v>
      </c>
      <c r="H5" s="1">
        <f>'[2]Dispatch Tracker'!$I$2</f>
        <v>620</v>
      </c>
      <c r="I5" s="2">
        <f>G5-H5</f>
        <v>1240</v>
      </c>
      <c r="J5" s="3"/>
      <c r="K5" s="3"/>
      <c r="L5" s="3"/>
      <c r="M5" s="3">
        <f>G5*E5/10^6</f>
        <v>1.0229999999999999</v>
      </c>
      <c r="N5" s="3">
        <f>E5*H5/10^6</f>
        <v>0.34100000000000003</v>
      </c>
      <c r="O5" s="3">
        <f t="shared" si="0"/>
        <v>0.68199999999999994</v>
      </c>
      <c r="P5" s="3"/>
      <c r="Q5" s="3"/>
      <c r="R5" s="5">
        <f>'[2]Dispatch Tracker'!$O$2</f>
        <v>7243607.25</v>
      </c>
      <c r="S5" s="5">
        <f>'[2]Payment details'!$C$3</f>
        <v>8000000</v>
      </c>
      <c r="T5" s="5">
        <f>R5-S5</f>
        <v>-756392.75</v>
      </c>
      <c r="U5" s="5"/>
      <c r="V5" s="5"/>
      <c r="W5" s="5"/>
    </row>
    <row r="6" spans="2:23" x14ac:dyDescent="0.35">
      <c r="B6" s="1" t="s">
        <v>12</v>
      </c>
      <c r="C6" s="1" t="s">
        <v>29</v>
      </c>
      <c r="D6" s="1" t="s">
        <v>30</v>
      </c>
      <c r="E6" s="1">
        <v>525</v>
      </c>
      <c r="F6" s="1" t="s">
        <v>11</v>
      </c>
      <c r="G6" s="1">
        <f>'[3]PO Details'!$E$4</f>
        <v>40000</v>
      </c>
      <c r="H6" s="2">
        <f>'[3]Dispatch Tracker'!$H$2</f>
        <v>37696</v>
      </c>
      <c r="I6" s="2">
        <f>G6-H6</f>
        <v>2304</v>
      </c>
      <c r="J6" s="3"/>
      <c r="K6" s="3"/>
      <c r="L6" s="3"/>
      <c r="M6" s="3">
        <f>G6*E6/10^6</f>
        <v>21</v>
      </c>
      <c r="N6" s="3">
        <f>E6*H6/10^6</f>
        <v>19.790400000000002</v>
      </c>
      <c r="O6" s="3">
        <f t="shared" si="0"/>
        <v>1.2095999999999982</v>
      </c>
      <c r="P6" s="3"/>
      <c r="Q6" s="3"/>
      <c r="R6" s="5">
        <f>'[3]Dispatch Tracker'!$M$2-'[3]Dispatch Tracker'!$N$2</f>
        <v>411248281.60000002</v>
      </c>
      <c r="S6" s="5"/>
      <c r="T6" s="5"/>
      <c r="U6" s="5"/>
      <c r="V6" s="5"/>
      <c r="W6" s="5"/>
    </row>
    <row r="7" spans="2:23" x14ac:dyDescent="0.35">
      <c r="B7" s="1" t="s">
        <v>13</v>
      </c>
      <c r="C7" s="1" t="s">
        <v>29</v>
      </c>
      <c r="D7" s="1" t="s">
        <v>30</v>
      </c>
      <c r="E7" s="1">
        <v>600</v>
      </c>
      <c r="F7" s="1" t="s">
        <v>11</v>
      </c>
      <c r="G7" s="1">
        <f>'[4]PO Details'!$E$2</f>
        <v>3720</v>
      </c>
      <c r="H7" s="2">
        <f>'[4]Dispatch Tracker'!$H$2</f>
        <v>1860</v>
      </c>
      <c r="I7" s="2">
        <f t="shared" ref="I7:I9" si="1">G7-H7</f>
        <v>1860</v>
      </c>
      <c r="J7" s="3"/>
      <c r="K7" s="3"/>
      <c r="L7" s="3"/>
      <c r="M7" s="3">
        <f>'[4]PO Details'!$G$2</f>
        <v>2.2320000000000002</v>
      </c>
      <c r="N7" s="3">
        <f>'[4]Dispatch Tracker'!$I$2</f>
        <v>1.1160000000000001</v>
      </c>
      <c r="O7" s="3">
        <f t="shared" si="0"/>
        <v>1.1160000000000001</v>
      </c>
      <c r="P7" s="3"/>
      <c r="Q7" s="3"/>
      <c r="R7" s="5">
        <f>'[4]Dispatch Tracker'!$M$2-'[4]Dispatch Tracker'!$N$2</f>
        <v>20291856</v>
      </c>
      <c r="S7" s="5"/>
      <c r="T7" s="5"/>
      <c r="U7" s="5"/>
      <c r="V7" s="5"/>
      <c r="W7" s="5"/>
    </row>
    <row r="8" spans="2:23" x14ac:dyDescent="0.35">
      <c r="B8" s="1" t="s">
        <v>14</v>
      </c>
      <c r="C8" s="1" t="s">
        <v>29</v>
      </c>
      <c r="D8" s="1" t="s">
        <v>30</v>
      </c>
      <c r="E8" s="1" t="s">
        <v>15</v>
      </c>
      <c r="F8" s="1" t="s">
        <v>11</v>
      </c>
      <c r="G8" s="1">
        <f>'[5]Order Details'!$H$1</f>
        <v>144320</v>
      </c>
      <c r="H8" s="1">
        <f>'[5]Dispatch tracker'!$K$3</f>
        <v>87464</v>
      </c>
      <c r="I8" s="2">
        <f t="shared" si="1"/>
        <v>56856</v>
      </c>
      <c r="J8" s="3"/>
      <c r="K8" s="3"/>
      <c r="L8" s="3"/>
      <c r="M8" s="3">
        <f>'[5]Order Details'!$I$1</f>
        <v>76.09920000000001</v>
      </c>
      <c r="N8" s="3">
        <f>'[5]Dispatch tracker'!$L$3</f>
        <v>46.390460000000068</v>
      </c>
      <c r="O8" s="3">
        <f t="shared" si="0"/>
        <v>29.708739999999942</v>
      </c>
      <c r="P8" s="3"/>
      <c r="Q8" s="3"/>
      <c r="R8" s="5">
        <f>'[5]Dispatch tracker'!$T$3</f>
        <v>966549679.07200062</v>
      </c>
      <c r="S8" s="5">
        <f>'[5]Dispatch tracker'!$Y$3</f>
        <v>883400238</v>
      </c>
      <c r="T8" s="5">
        <f>R8-S8</f>
        <v>83149441.072000623</v>
      </c>
      <c r="U8" s="5"/>
      <c r="V8" s="5"/>
      <c r="W8" s="5"/>
    </row>
    <row r="9" spans="2:23" x14ac:dyDescent="0.35">
      <c r="B9" s="1" t="s">
        <v>16</v>
      </c>
      <c r="C9" s="1" t="s">
        <v>29</v>
      </c>
      <c r="D9" s="1" t="s">
        <v>30</v>
      </c>
      <c r="E9" s="1">
        <v>535</v>
      </c>
      <c r="F9" s="1" t="s">
        <v>11</v>
      </c>
      <c r="G9" s="1">
        <f>'[6]Order Details'!$E$2</f>
        <v>20088</v>
      </c>
      <c r="H9" s="2">
        <f>'[6]Dispatch Tracker'!$H$2</f>
        <v>12811</v>
      </c>
      <c r="I9" s="2">
        <f t="shared" si="1"/>
        <v>7277</v>
      </c>
      <c r="J9" s="3"/>
      <c r="K9" s="3"/>
      <c r="L9" s="3"/>
      <c r="M9" s="3">
        <f>'[6]Order Details'!$G$2</f>
        <v>10.74708</v>
      </c>
      <c r="N9" s="3">
        <f>'[6]Dispatch Tracker'!$I$2</f>
        <v>6.8538849999999982</v>
      </c>
      <c r="O9" s="3">
        <f t="shared" si="0"/>
        <v>3.8931950000000022</v>
      </c>
      <c r="P9" s="3"/>
      <c r="Q9" s="3"/>
      <c r="R9" s="5">
        <f>'[6]Dispatch Tracker'!$O$2</f>
        <v>143794507.30000001</v>
      </c>
      <c r="S9" s="5"/>
      <c r="T9" s="5"/>
      <c r="U9" s="5"/>
      <c r="V9" s="5"/>
      <c r="W9" s="5"/>
    </row>
    <row r="10" spans="2:23" x14ac:dyDescent="0.35">
      <c r="B10" s="1" t="s">
        <v>31</v>
      </c>
      <c r="C10" s="1" t="s">
        <v>29</v>
      </c>
      <c r="D10" s="1" t="s">
        <v>32</v>
      </c>
      <c r="E10" s="1">
        <v>535</v>
      </c>
      <c r="F10" s="1" t="s">
        <v>11</v>
      </c>
    </row>
    <row r="11" spans="2:23" x14ac:dyDescent="0.35">
      <c r="B11" s="1" t="s">
        <v>33</v>
      </c>
      <c r="C11" s="1" t="s">
        <v>29</v>
      </c>
      <c r="D11" s="1" t="s">
        <v>32</v>
      </c>
      <c r="E11" s="1">
        <v>540</v>
      </c>
      <c r="F11" s="1" t="s">
        <v>11</v>
      </c>
    </row>
    <row r="12" spans="2:23" x14ac:dyDescent="0.35">
      <c r="B12" s="1" t="s">
        <v>34</v>
      </c>
      <c r="C12" s="1" t="s">
        <v>29</v>
      </c>
      <c r="D1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Subhasish Pattanaik</dc:creator>
  <cp:lastModifiedBy>SERVICE DEPARTMENT</cp:lastModifiedBy>
  <dcterms:created xsi:type="dcterms:W3CDTF">2015-06-05T18:17:20Z</dcterms:created>
  <dcterms:modified xsi:type="dcterms:W3CDTF">2026-07-30T12:37:07Z</dcterms:modified>
</cp:coreProperties>
</file>